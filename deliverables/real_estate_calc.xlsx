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חשבון" sheetId="1" state="visible" r:id="rId3"/>
    <sheet name="נתונים" sheetId="2" state="visible" r:id="rId4"/>
    <sheet name="לוח סילוקין" sheetId="3" state="visible" r:id="rId5"/>
    <sheet name="תחזית ומכירה" sheetId="4" state="visible" r:id="rId6"/>
    <sheet name="השוואת דירות" sheetId="5" state="visible" r:id="rId7"/>
    <sheet name="ניתוח רגישות" sheetId="6" state="visible" r:id="rId8"/>
    <sheet name="ייבוא וסיכום אזור" sheetId="7" state="visible" r:id="rId9"/>
    <sheet name="ניתוח מודעות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FreeSans"/>
            <family val="2"/>
          </rPr>
          <t xml:space="preserve">יוגבל אוטומטית לתקרה החוקית לפי סוג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Arial"/>
            <family val="2"/>
          </rPr>
          <t xml:space="preserve">~4.8% </t>
        </r>
        <r>
          <rPr>
            <sz val="10"/>
            <rFont val="FreeSans"/>
            <family val="2"/>
          </rPr>
          <t xml:space="preserve">קל"צ אמצע </t>
        </r>
        <r>
          <rPr>
            <sz val="10"/>
            <rFont val="Arial"/>
            <family val="2"/>
          </rPr>
          <t xml:space="preserve">2026. עדכן לפי הצעה אמיתית.</t>
        </r>
      </text>
    </comment>
    <comment ref="A14" authorId="0">
      <text>
        <r>
          <rPr>
            <sz val="10"/>
            <rFont val="Arial"/>
            <family val="2"/>
          </rPr>
          <t xml:space="preserve">18% </t>
        </r>
        <r>
          <rPr>
            <sz val="10"/>
            <rFont val="FreeSans"/>
            <family val="2"/>
          </rPr>
          <t xml:space="preserve">מ-</t>
        </r>
        <r>
          <rPr>
            <sz val="10"/>
            <rFont val="Arial"/>
            <family val="2"/>
          </rPr>
          <t xml:space="preserve">2025; חל על תיווך ושכ"ט.</t>
        </r>
      </text>
    </comment>
    <comment ref="A34" authorId="0">
      <text>
        <r>
          <rPr>
            <sz val="10"/>
            <rFont val="FreeSans"/>
            <family val="2"/>
          </rPr>
          <t xml:space="preserve">אומדן הכנסה פנויה. תקרה רגולטורית </t>
        </r>
        <r>
          <rPr>
            <sz val="10"/>
            <rFont val="Arial"/>
            <family val="2"/>
          </rPr>
          <t xml:space="preserve">50% (40% מצרפי מ-7.2026); בנקים מאשרים בפועל 30%-35%.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מדרגות מס רכישה </t>
        </r>
        <r>
          <rPr>
            <sz val="10"/>
            <rFont val="Arial"/>
            <family val="2"/>
          </rPr>
          <t xml:space="preserve">2026 קפואות עד 15.1.2028 (חוק ההסדרים). מקור: רשות המסים/כל-זכות.
</t>
        </r>
        <r>
          <rPr>
            <sz val="10"/>
            <rFont val="FreeSans"/>
            <family val="2"/>
          </rPr>
          <t xml:space="preserve">תקרות מימון: הוראות בנק ישראל</t>
        </r>
        <r>
          <rPr>
            <sz val="10"/>
            <rFont val="Arial"/>
            <family val="2"/>
          </rPr>
          <t xml:space="preserve">.</t>
        </r>
      </text>
    </comment>
    <comment ref="A22" authorId="0">
      <text>
        <r>
          <rPr>
            <sz val="10"/>
            <rFont val="FreeSans"/>
            <family val="2"/>
          </rPr>
          <t xml:space="preserve">מס שבח על נכס השקעה ~</t>
        </r>
        <r>
          <rPr>
            <sz val="10"/>
            <rFont val="Arial"/>
            <family val="2"/>
          </rPr>
          <t xml:space="preserve">25% מהרווח הריאלי. דירת מגורים יחידה עשויה להיות פטורה בתנאים. חישוב מפושט.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FreeSans"/>
            <family val="2"/>
          </rPr>
          <t xml:space="preserve">דירת מגורים יחידה עשויה להיות פטורה בתנאים. השקעה — בד"כ חייבת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FreeSans"/>
            <family val="2"/>
          </rPr>
          <t xml:space="preserve">העתק אומדן זה לתא </t>
        </r>
        <r>
          <rPr>
            <sz val="10"/>
            <rFont val="Arial"/>
            <family val="2"/>
          </rPr>
          <t xml:space="preserve">B5 (</t>
        </r>
        <r>
          <rPr>
            <sz val="10"/>
            <rFont val="FreeSans"/>
            <family val="2"/>
          </rPr>
          <t xml:space="preserve">מחיר הדירה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FreeSans"/>
            <family val="2"/>
          </rPr>
          <t xml:space="preserve">בגיליון 'מחשבון</t>
        </r>
        <r>
          <rPr>
            <sz val="10"/>
            <rFont val="Arial"/>
            <family val="2"/>
          </rPr>
          <t xml:space="preserve">'.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FreeSans"/>
            <family val="2"/>
          </rPr>
          <t xml:space="preserve">מקור עסקאות שנסגרו (חוקי וחינמי)</t>
        </r>
        <r>
          <rPr>
            <sz val="10"/>
            <rFont val="Arial"/>
            <family val="2"/>
          </rPr>
          <t xml:space="preserve">: https://www.nadlan.gov.il — </t>
        </r>
        <r>
          <rPr>
            <sz val="10"/>
            <rFont val="FreeSans"/>
            <family val="2"/>
          </rPr>
          <t xml:space="preserve">חיפוש לפי כתובת/אזור והורדה לאקסל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FreeSans"/>
            <family val="2"/>
          </rPr>
          <t xml:space="preserve">דירות עם תשואה מעל הסף יסומנו כמעניינות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FreeSans"/>
            <family val="2"/>
          </rPr>
          <t xml:space="preserve">אופציונלי. אם תזין, תראה אם הדירה מעל/מתחת לממוצע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<sst xmlns="http://schemas.openxmlformats.org/spreadsheetml/2006/main" count="247" uniqueCount="220">
  <si>
    <t xml:space="preserve">מחשבון השקעה ורכישת דירה — 2026</t>
  </si>
  <si>
    <t xml:space="preserve">הזן ערכים בתאים הצהובים בלבד. כל השאר מתחשב אוטומטית. ראה גיליונות נוספים בתחתית.</t>
  </si>
  <si>
    <t xml:space="preserve">🔹 נתוני קלט</t>
  </si>
  <si>
    <t xml:space="preserve">מחיר הדירה (₪)</t>
  </si>
  <si>
    <t xml:space="preserve">סוג רכישה</t>
  </si>
  <si>
    <t xml:space="preserve">דירה יחידה</t>
  </si>
  <si>
    <t xml:space="preserve">אחוז מימון רצוי</t>
  </si>
  <si>
    <t xml:space="preserve">תקופת המשכנתא (שנים)</t>
  </si>
  <si>
    <t xml:space="preserve">ריבית שנתית</t>
  </si>
  <si>
    <t xml:space="preserve">שכר דירה חודשי צפוי (₪)</t>
  </si>
  <si>
    <t xml:space="preserve">עלות תיווך (%)</t>
  </si>
  <si>
    <t xml:space="preserve">שכ"ט עו"ד (%)</t>
  </si>
  <si>
    <t xml:space="preserve">עלויות נוספות (₪)</t>
  </si>
  <si>
    <t xml:space="preserve">מע"מ על שירותים</t>
  </si>
  <si>
    <t xml:space="preserve">יחס החזר מקס'</t>
  </si>
  <si>
    <t xml:space="preserve">🔹 מס רכישה ועלויות נלוות</t>
  </si>
  <si>
    <t xml:space="preserve">מס רכישה — אם דירה יחידה</t>
  </si>
  <si>
    <t xml:space="preserve">מס רכישה — אם דירה נוספת</t>
  </si>
  <si>
    <t xml:space="preserve">מס רכישה לפי הסוג שנבחר</t>
  </si>
  <si>
    <t xml:space="preserve">דמי תיווך (כולל מע"מ)</t>
  </si>
  <si>
    <t xml:space="preserve">שכ"ט עו"ד (כולל מע"מ)</t>
  </si>
  <si>
    <t xml:space="preserve">עלויות נוספות</t>
  </si>
  <si>
    <t xml:space="preserve">סך עלויות נלוות</t>
  </si>
  <si>
    <t xml:space="preserve">🔹 מימון, משכנתא והון עצמי</t>
  </si>
  <si>
    <t xml:space="preserve">תקרת מימון מותרת</t>
  </si>
  <si>
    <t xml:space="preserve">אחוז מימון בפועל</t>
  </si>
  <si>
    <t xml:space="preserve">סכום המשכנתא</t>
  </si>
  <si>
    <t xml:space="preserve">הון עצמי נדרש (כולל נלוות)</t>
  </si>
  <si>
    <t xml:space="preserve">החזר חודשי</t>
  </si>
  <si>
    <t xml:space="preserve">סך תשלום לאורך התקופה</t>
  </si>
  <si>
    <t xml:space="preserve">סך ריבית שתשולם</t>
  </si>
  <si>
    <t xml:space="preserve">הכנסה פנויה נדרשת (אומדן)</t>
  </si>
  <si>
    <t xml:space="preserve">🔹 תשואה ותזרים</t>
  </si>
  <si>
    <t xml:space="preserve">הכנסה שנתית משכירות</t>
  </si>
  <si>
    <t xml:space="preserve">עלות העסקה הכוללת</t>
  </si>
  <si>
    <t xml:space="preserve">תשואה ברוטו (על המחיר)</t>
  </si>
  <si>
    <t xml:space="preserve">תשואה ברוטו (על העלות הכוללת)</t>
  </si>
  <si>
    <t xml:space="preserve">תזרים חודשי נטו</t>
  </si>
  <si>
    <t xml:space="preserve">תזרים שנתי נטו</t>
  </si>
  <si>
    <t xml:space="preserve">תשואה על ההון (Cash-on-Cash)</t>
  </si>
  <si>
    <t xml:space="preserve">🔹 הוצאות שוטפות ומס שכירות</t>
  </si>
  <si>
    <t xml:space="preserve">ארנונה חודשית (₪)</t>
  </si>
  <si>
    <t xml:space="preserve">ועד בית חודשי (₪)</t>
  </si>
  <si>
    <t xml:space="preserve">ביטוח חודשי (מבנה+חיים) ₪</t>
  </si>
  <si>
    <t xml:space="preserve">רזרבת תחזוקה (% משכ"ד)</t>
  </si>
  <si>
    <t xml:space="preserve">דמי ניהול (% משכ"ד)</t>
  </si>
  <si>
    <t xml:space="preserve">אי-אכלוס (% בשנה)</t>
  </si>
  <si>
    <t xml:space="preserve">מסלול מס שכירות</t>
  </si>
  <si>
    <t xml:space="preserve">הזול ביותר</t>
  </si>
  <si>
    <t xml:space="preserve">מדרגת מס שולי (%)</t>
  </si>
  <si>
    <t xml:space="preserve">הוצאות שוטפות (שנתי)</t>
  </si>
  <si>
    <t xml:space="preserve">מס שכירות — פטור</t>
  </si>
  <si>
    <t xml:space="preserve">מס שכירות — 10%</t>
  </si>
  <si>
    <t xml:space="preserve">מס שכירות — שולי</t>
  </si>
  <si>
    <t xml:space="preserve">מס שכירות לפי מסלול</t>
  </si>
  <si>
    <t xml:space="preserve">NOI — הכנסה תפעולית נטו (שנתי)</t>
  </si>
  <si>
    <t xml:space="preserve">תשואה נטו (אחרי הוצאות ומס)</t>
  </si>
  <si>
    <t xml:space="preserve">Cap Rate</t>
  </si>
  <si>
    <t xml:space="preserve">תזרים חודשי נטו (אמיתי)</t>
  </si>
  <si>
    <t xml:space="preserve">תשואה נטו על ההון</t>
  </si>
  <si>
    <t xml:space="preserve">🔹 תמהיל משכנתא (אופציונלי)</t>
  </si>
  <si>
    <t xml:space="preserve">מסלול</t>
  </si>
  <si>
    <t xml:space="preserve">חלק (%)</t>
  </si>
  <si>
    <t xml:space="preserve">ריבית</t>
  </si>
  <si>
    <t xml:space="preserve">שנים</t>
  </si>
  <si>
    <t xml:space="preserve">החזר</t>
  </si>
  <si>
    <t xml:space="preserve">פריים (משתנה)</t>
  </si>
  <si>
    <t xml:space="preserve">קל"צ (קבועה)</t>
  </si>
  <si>
    <t xml:space="preserve">צמודת מדד</t>
  </si>
  <si>
    <t xml:space="preserve">החזר כולל לפי תמהיל</t>
  </si>
  <si>
    <t xml:space="preserve">ריבית משוקללת</t>
  </si>
  <si>
    <r>
      <rPr>
        <sz val="11"/>
        <color theme="1"/>
        <rFont val="FreeSans"/>
        <family val="2"/>
      </rPr>
      <t xml:space="preserve">חלק ריבית משתנה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פריים</t>
    </r>
    <r>
      <rPr>
        <sz val="11"/>
        <color theme="1"/>
        <rFont val="Calibri"/>
        <family val="2"/>
        <charset val="1"/>
      </rPr>
      <t xml:space="preserve">)</t>
    </r>
  </si>
  <si>
    <t xml:space="preserve">בדיקת מגבלת בנק ישראל</t>
  </si>
  <si>
    <t xml:space="preserve">הערה: מקטע התמהיל מידעי. כדי שישפיע על הראשי, החלף ידנית את הריבית בתא B9.</t>
  </si>
  <si>
    <t xml:space="preserve">פרמטרים והגדרות — לעריכה</t>
  </si>
  <si>
    <t xml:space="preserve">מס רכישה — דירה יחידה (2026)</t>
  </si>
  <si>
    <t xml:space="preserve">מ- (₪)</t>
  </si>
  <si>
    <t xml:space="preserve">עד (₪)</t>
  </si>
  <si>
    <t xml:space="preserve">שיעור</t>
  </si>
  <si>
    <t xml:space="preserve">מס במדרגה</t>
  </si>
  <si>
    <t xml:space="preserve">מס רכישה — דירה נוספת/השקעה (2026)</t>
  </si>
  <si>
    <t xml:space="preserve">תקרות מימון (LTV) — בנק ישראל</t>
  </si>
  <si>
    <t xml:space="preserve">דירה יחידה / ראשונה</t>
  </si>
  <si>
    <t xml:space="preserve">משפר דיור</t>
  </si>
  <si>
    <t xml:space="preserve">דירה להשקעה / נוספת</t>
  </si>
  <si>
    <t xml:space="preserve">פרמטרים נוספים</t>
  </si>
  <si>
    <t xml:space="preserve">שיעור מס שבח (השקעה)</t>
  </si>
  <si>
    <t xml:space="preserve">גידול שכר דירה שנתי (ברירת מחדל)</t>
  </si>
  <si>
    <t xml:space="preserve">עליית ערך נכס שנתית (ברירת מחדל)</t>
  </si>
  <si>
    <t xml:space="preserve">מס יסף (הכנסה גבוהה)</t>
  </si>
  <si>
    <t xml:space="preserve">תקרת פטור דירה יחידה (מס שבח)</t>
  </si>
  <si>
    <t xml:space="preserve">אינפלציה שנתית (ברירת מחדל)</t>
  </si>
  <si>
    <t xml:space="preserve">תקרת פטור שכירות חודשי</t>
  </si>
  <si>
    <t xml:space="preserve">שיעור מס שכירות מחזור (10%)</t>
  </si>
  <si>
    <t xml:space="preserve">מדרגת מס שולי שכירות</t>
  </si>
  <si>
    <t xml:space="preserve">שיעור פחת שנתי (מבנה)</t>
  </si>
  <si>
    <t xml:space="preserve">מגבלת ריבית משתנה (בנק ישראל)</t>
  </si>
  <si>
    <t xml:space="preserve">לוח סילוקין שנתי</t>
  </si>
  <si>
    <t xml:space="preserve">מבוסס על נתוני גיליון 'מחשבון' (סכום משכנתא, ריבית, תקופה).</t>
  </si>
  <si>
    <t xml:space="preserve">שנה</t>
  </si>
  <si>
    <t xml:space="preserve">יתרת פתיחה</t>
  </si>
  <si>
    <t xml:space="preserve">תשלום שנתי</t>
  </si>
  <si>
    <t xml:space="preserve">מתוכו ריבית</t>
  </si>
  <si>
    <t xml:space="preserve">מתוכו קרן</t>
  </si>
  <si>
    <t xml:space="preserve">יתרת סגירה</t>
  </si>
  <si>
    <t xml:space="preserve">סה"כ</t>
  </si>
  <si>
    <t xml:space="preserve">תחזית רב-שנתית ומכירה (כולל מס שבח)</t>
  </si>
  <si>
    <t xml:space="preserve">מודל החזקה ומכירה. שנה ושיעורי גידול ניתנים לעריכה (צהוב).</t>
  </si>
  <si>
    <t xml:space="preserve">🔹 הנחות</t>
  </si>
  <si>
    <t xml:space="preserve">גידול שכר דירה שנתי</t>
  </si>
  <si>
    <t xml:space="preserve">עליית ערך הנכס שנתית</t>
  </si>
  <si>
    <t xml:space="preserve">שנת מכירה (כמה שנים מחזיקים)</t>
  </si>
  <si>
    <t xml:space="preserve">עלות מכירה (תיווך וכד') %</t>
  </si>
  <si>
    <t xml:space="preserve">פטור ממס שבח?</t>
  </si>
  <si>
    <t xml:space="preserve">לא</t>
  </si>
  <si>
    <t xml:space="preserve">🔹 טבלה שנתית</t>
  </si>
  <si>
    <t xml:space="preserve">ערך הנכס</t>
  </si>
  <si>
    <t xml:space="preserve">שכר דירה שנתי</t>
  </si>
  <si>
    <t xml:space="preserve">תזרים נטו שנתי</t>
  </si>
  <si>
    <t xml:space="preserve">יתרת משכנתא</t>
  </si>
  <si>
    <t xml:space="preserve">הון עצמי בנכס</t>
  </si>
  <si>
    <t xml:space="preserve">🔹 סיכום מכירה (בשנת המכירה שנבחרה)</t>
  </si>
  <si>
    <t xml:space="preserve">מחיר מכירה צפוי</t>
  </si>
  <si>
    <t xml:space="preserve">יתרת משכנתא בעת המכירה</t>
  </si>
  <si>
    <t xml:space="preserve">עלות מכירה (תיווך וכד')</t>
  </si>
  <si>
    <t xml:space="preserve">רווח גולמי (מכירה פחות קנייה ועלויות)</t>
  </si>
  <si>
    <t xml:space="preserve">סכום אינפלציוני (פטור)</t>
  </si>
  <si>
    <t xml:space="preserve">מס שבח (על שבח ריאלי)</t>
  </si>
  <si>
    <t xml:space="preserve">שבח ריאלי (חייב)</t>
  </si>
  <si>
    <t xml:space="preserve">נטו ממכירה (אחרי מס וסילוק משכנתא)</t>
  </si>
  <si>
    <t xml:space="preserve">סך תזרים שכירות מצטבר עד המכירה</t>
  </si>
  <si>
    <t xml:space="preserve">הון עצמי שהושקע בתחילה</t>
  </si>
  <si>
    <t xml:space="preserve">רווח כולל (נטו ממכירה + תזרים − הון)</t>
  </si>
  <si>
    <t xml:space="preserve">החזר על ההשקעה (כולל)</t>
  </si>
  <si>
    <t xml:space="preserve">תשואה שנתית ממוצעת (משוערת)</t>
  </si>
  <si>
    <t xml:space="preserve">🔹 הנחות מס שבח ועלות הזדמנות</t>
  </si>
  <si>
    <t xml:space="preserve">אינפלציה שנתית (להתאמת שבח ריאלי)</t>
  </si>
  <si>
    <t xml:space="preserve">בעל הכנסה גבוהה? (מס יסף)</t>
  </si>
  <si>
    <t xml:space="preserve">תקרת פטור דירה יחידה</t>
  </si>
  <si>
    <t xml:space="preserve">תשואה חלופית שנתית (%)</t>
  </si>
  <si>
    <t xml:space="preserve">ערך ההון בחלופה (אותו אופק)</t>
  </si>
  <si>
    <t xml:space="preserve">יתרון הנדל"ן על החלופה</t>
  </si>
  <si>
    <t xml:space="preserve">השוואה בין דירות</t>
  </si>
  <si>
    <t xml:space="preserve">מלא נתונים לכל דירה בעמודות. התוצאות מתחשבות אוטומטית.</t>
  </si>
  <si>
    <t xml:space="preserve">פרמטר</t>
  </si>
  <si>
    <t xml:space="preserve">דירה 1</t>
  </si>
  <si>
    <t xml:space="preserve">דירה 2</t>
  </si>
  <si>
    <t xml:space="preserve">דירה 3</t>
  </si>
  <si>
    <t xml:space="preserve">דירה 4</t>
  </si>
  <si>
    <t xml:space="preserve">דירה להשקעה</t>
  </si>
  <si>
    <t xml:space="preserve">תקופת משכנתא (שנים)</t>
  </si>
  <si>
    <t xml:space="preserve">שכר דירה חודשי (₪)</t>
  </si>
  <si>
    <t xml:space="preserve">תיווך %</t>
  </si>
  <si>
    <t xml:space="preserve">שכ"ט עו"ד %</t>
  </si>
  <si>
    <t xml:space="preserve">🔹 תוצאות</t>
  </si>
  <si>
    <t xml:space="preserve">מס רכישה</t>
  </si>
  <si>
    <t xml:space="preserve">עלויות נלוות (מס+תיווך+עו"ד)</t>
  </si>
  <si>
    <t xml:space="preserve">תקרת מימון</t>
  </si>
  <si>
    <t xml:space="preserve">סכום משכנתא</t>
  </si>
  <si>
    <t xml:space="preserve">הון עצמי נדרש</t>
  </si>
  <si>
    <t xml:space="preserve">ניתוח רגישות</t>
  </si>
  <si>
    <t xml:space="preserve">כיצד ההחזר והתשואה משתנים. מבוסס על נתוני גיליון 'מחשבון'.</t>
  </si>
  <si>
    <t xml:space="preserve">החזר חודשי לפי ריבית (שורות) × תקופה (עמודות)</t>
  </si>
  <si>
    <t xml:space="preserve">ריבית\שנים</t>
  </si>
  <si>
    <t xml:space="preserve">תשואה ברוטו לפי מחיר (שורות) × שכר דירה חודשי (עמודות)</t>
  </si>
  <si>
    <t xml:space="preserve">מחיר\שכ"ד</t>
  </si>
  <si>
    <t xml:space="preserve">ייבוא עסקאות וסיכום אזור</t>
  </si>
  <si>
    <t xml:space="preserve">הדבק עסקאות שירדו מ-nadlan.gov.il / רשות המסים (החל משורה 16). הסיכום והאומדן מתחשבים אוטומטית.</t>
  </si>
  <si>
    <t xml:space="preserve">🔹 סיכום אזור</t>
  </si>
  <si>
    <t xml:space="preserve">מספר עסקאות</t>
  </si>
  <si>
    <t xml:space="preserve">מחיר מינימלי</t>
  </si>
  <si>
    <t xml:space="preserve">מחיר ממוצע (₪)</t>
  </si>
  <si>
    <t xml:space="preserve">מחיר מקסימלי</t>
  </si>
  <si>
    <t xml:space="preserve">מחיר חציוני (₪)</t>
  </si>
  <si>
    <t xml:space="preserve">סטיית תקן</t>
  </si>
  <si>
    <t xml:space="preserve">מחיר ממוצע למ"ר (₪)</t>
  </si>
  <si>
    <t xml:space="preserve">ממוצע מ"ר לדירה</t>
  </si>
  <si>
    <t xml:space="preserve">🔹 אומדן מחיר לפי שטח</t>
  </si>
  <si>
    <t xml:space="preserve">שטח הדירה שמעניין אותך (מ"ר)</t>
  </si>
  <si>
    <t xml:space="preserve">טיפ:</t>
  </si>
  <si>
    <t xml:space="preserve">אומדן מחיר (שטח × ממוצע למ"ר)</t>
  </si>
  <si>
    <t xml:space="preserve">העתק את האומדן לתא B5 בגיליון "מחשבון".</t>
  </si>
  <si>
    <t xml:space="preserve">תאריך מכירה</t>
  </si>
  <si>
    <t xml:space="preserve">כתובת</t>
  </si>
  <si>
    <t xml:space="preserve">שכונה/אזור</t>
  </si>
  <si>
    <t xml:space="preserve">סוג נכס</t>
  </si>
  <si>
    <t xml:space="preserve">חדרים</t>
  </si>
  <si>
    <t xml:space="preserve">שטח (מ"ר)</t>
  </si>
  <si>
    <t xml:space="preserve">מחיר עסקה (₪)</t>
  </si>
  <si>
    <t xml:space="preserve">מחיר למ"ר</t>
  </si>
  <si>
    <t xml:space="preserve">2026-03-12</t>
  </si>
  <si>
    <t xml:space="preserve">הרצל 15</t>
  </si>
  <si>
    <t xml:space="preserve">מרכז</t>
  </si>
  <si>
    <t xml:space="preserve">דירה</t>
  </si>
  <si>
    <t xml:space="preserve">2026-02-08</t>
  </si>
  <si>
    <t xml:space="preserve">ביאליק 4</t>
  </si>
  <si>
    <t xml:space="preserve">2026-01-20</t>
  </si>
  <si>
    <t xml:space="preserve">ויצמן 30</t>
  </si>
  <si>
    <t xml:space="preserve">צפון</t>
  </si>
  <si>
    <t xml:space="preserve">מנוע ניתוח מודעות</t>
  </si>
  <si>
    <t xml:space="preserve">הדבק נתוני מודעות בעמודות הצהובות (מקור: nadlan.gov.il / מודעות שאתה גולש בהן). השאר מחושב אוטומטית.</t>
  </si>
  <si>
    <t xml:space="preserve">🔹 הנחות לכל הניתוח</t>
  </si>
  <si>
    <t xml:space="preserve">סוג רכישה (למס)</t>
  </si>
  <si>
    <t xml:space="preserve">אחוז מימון</t>
  </si>
  <si>
    <t xml:space="preserve">תשואה מינ' רצויה (לסימון)</t>
  </si>
  <si>
    <t xml:space="preserve">מחיר ממוצע למ"ר באזור (₪)</t>
  </si>
  <si>
    <t xml:space="preserve">#</t>
  </si>
  <si>
    <t xml:space="preserve">כתובת / תיאור</t>
  </si>
  <si>
    <t xml:space="preserve">מחיר מבוקש</t>
  </si>
  <si>
    <t xml:space="preserve">מ"ר</t>
  </si>
  <si>
    <t xml:space="preserve">שכ"ד חודשי</t>
  </si>
  <si>
    <t xml:space="preserve">עלות כוללת</t>
  </si>
  <si>
    <t xml:space="preserve">הון עצמי</t>
  </si>
  <si>
    <t xml:space="preserve">תזרים נטו</t>
  </si>
  <si>
    <t xml:space="preserve">תשואה ברוטו</t>
  </si>
  <si>
    <t xml:space="preserve">פער ממוצע מ"ר</t>
  </si>
  <si>
    <t xml:space="preserve">ציון</t>
  </si>
  <si>
    <t xml:space="preserve">סיכום:</t>
  </si>
  <si>
    <t xml:space="preserve">ממוצעים →</t>
  </si>
  <si>
    <t xml:space="preserve">התשואה הגבוהה ביותר: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</si>
</sst>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"/>
    <numFmt numFmtId="168" formatCode="0.00%"/>
    <numFmt numFmtId="169" formatCode="0.0%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i val="true"/>
      <sz val="9"/>
      <color rgb="FF80808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theme="1"/>
      <name val="FreeSans"/>
      <family val="2"/>
      <charset val="1"/>
    </font>
    <font>
      <b val="true"/>
      <sz val="15"/>
      <color rgb="FF1F4E78"/>
      <name val="Arial"/>
      <family val="0"/>
      <charset val="1"/>
    </font>
    <font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8" min="3" style="1" width="3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n">
        <v>2000000</v>
      </c>
    </row>
    <row r="6" customFormat="false" ht="15" hidden="false" customHeight="true" outlineLevel="0" collapsed="false">
      <c r="A6" s="6" t="s">
        <v>4</v>
      </c>
      <c r="B6" s="8" t="s">
        <v>5</v>
      </c>
    </row>
    <row r="7" customFormat="false" ht="15" hidden="false" customHeight="true" outlineLevel="0" collapsed="false">
      <c r="A7" s="6" t="s">
        <v>6</v>
      </c>
      <c r="B7" s="9" t="n">
        <v>0.75</v>
      </c>
    </row>
    <row r="8" customFormat="false" ht="15" hidden="false" customHeight="true" outlineLevel="0" collapsed="false">
      <c r="A8" s="6" t="s">
        <v>7</v>
      </c>
      <c r="B8" s="10" t="n">
        <v>25</v>
      </c>
    </row>
    <row r="9" customFormat="false" ht="15" hidden="false" customHeight="true" outlineLevel="0" collapsed="false">
      <c r="A9" s="6" t="s">
        <v>8</v>
      </c>
      <c r="B9" s="11" t="n">
        <v>0.048</v>
      </c>
    </row>
    <row r="10" customFormat="false" ht="15" hidden="false" customHeight="true" outlineLevel="0" collapsed="false">
      <c r="A10" s="6" t="s">
        <v>9</v>
      </c>
      <c r="B10" s="7" t="n">
        <v>6000</v>
      </c>
    </row>
    <row r="11" customFormat="false" ht="15" hidden="false" customHeight="true" outlineLevel="0" collapsed="false">
      <c r="A11" s="6" t="s">
        <v>10</v>
      </c>
      <c r="B11" s="12" t="n">
        <v>0.02</v>
      </c>
    </row>
    <row r="12" customFormat="false" ht="15" hidden="false" customHeight="true" outlineLevel="0" collapsed="false">
      <c r="A12" s="6" t="s">
        <v>11</v>
      </c>
      <c r="B12" s="11" t="n">
        <v>0.005</v>
      </c>
    </row>
    <row r="13" customFormat="false" ht="15" hidden="false" customHeight="true" outlineLevel="0" collapsed="false">
      <c r="A13" s="6" t="s">
        <v>12</v>
      </c>
      <c r="B13" s="7" t="n">
        <v>0</v>
      </c>
    </row>
    <row r="14" customFormat="false" ht="15" hidden="false" customHeight="true" outlineLevel="0" collapsed="false">
      <c r="A14" s="6" t="s">
        <v>13</v>
      </c>
      <c r="B14" s="9" t="n">
        <v>0.18</v>
      </c>
    </row>
    <row r="15" customFormat="false" ht="15" hidden="false" customHeight="true" outlineLevel="0" collapsed="false">
      <c r="A15" s="6" t="s">
        <v>14</v>
      </c>
      <c r="B15" s="9" t="n">
        <v>0.33</v>
      </c>
    </row>
    <row r="17" customFormat="false" ht="15" hidden="false" customHeight="true" outlineLevel="0" collapsed="false">
      <c r="A17" s="4" t="s">
        <v>15</v>
      </c>
      <c r="B17" s="5"/>
    </row>
    <row r="18" customFormat="false" ht="15" hidden="false" customHeight="true" outlineLevel="0" collapsed="false">
      <c r="A18" s="6" t="s">
        <v>16</v>
      </c>
      <c r="B18" s="13" t="n">
        <f aca="false">SUM(נתונים!D5:D9)</f>
        <v>743.925</v>
      </c>
    </row>
    <row r="19" customFormat="false" ht="15" hidden="false" customHeight="true" outlineLevel="0" collapsed="false">
      <c r="A19" s="6" t="s">
        <v>17</v>
      </c>
      <c r="B19" s="13" t="n">
        <f aca="false">SUM(נתונים!D13:D14)</f>
        <v>160000</v>
      </c>
    </row>
    <row r="20" customFormat="false" ht="15" hidden="false" customHeight="true" outlineLevel="0" collapsed="false">
      <c r="A20" s="6" t="s">
        <v>18</v>
      </c>
      <c r="B20" s="14" t="n">
        <f aca="false">IF(B6="דירה להשקעה",B19,B18)</f>
        <v>743.925</v>
      </c>
    </row>
    <row r="21" customFormat="false" ht="15" hidden="false" customHeight="true" outlineLevel="0" collapsed="false">
      <c r="A21" s="6" t="s">
        <v>19</v>
      </c>
      <c r="B21" s="13" t="n">
        <f aca="false">B5*B11*(1+B14)</f>
        <v>47200</v>
      </c>
    </row>
    <row r="22" customFormat="false" ht="15" hidden="false" customHeight="true" outlineLevel="0" collapsed="false">
      <c r="A22" s="6" t="s">
        <v>20</v>
      </c>
      <c r="B22" s="13" t="n">
        <f aca="false">B5*B12*(1+B14)</f>
        <v>11800</v>
      </c>
    </row>
    <row r="23" customFormat="false" ht="15" hidden="false" customHeight="true" outlineLevel="0" collapsed="false">
      <c r="A23" s="6" t="s">
        <v>21</v>
      </c>
      <c r="B23" s="13" t="n">
        <f aca="false">B13</f>
        <v>0</v>
      </c>
    </row>
    <row r="24" customFormat="false" ht="15" hidden="false" customHeight="true" outlineLevel="0" collapsed="false">
      <c r="A24" s="6" t="s">
        <v>22</v>
      </c>
      <c r="B24" s="14" t="n">
        <f aca="false">B20+B21+B22+B23</f>
        <v>59743.925</v>
      </c>
    </row>
    <row r="26" customFormat="false" ht="15" hidden="false" customHeight="true" outlineLevel="0" collapsed="false">
      <c r="A26" s="4" t="s">
        <v>23</v>
      </c>
      <c r="B26" s="5"/>
    </row>
    <row r="27" customFormat="false" ht="15" hidden="false" customHeight="true" outlineLevel="0" collapsed="false">
      <c r="A27" s="6" t="s">
        <v>24</v>
      </c>
      <c r="B27" s="15" t="n">
        <f aca="false">IF(B6="דירה להשקעה",נתונים!B19,IF(B6="משפר דיור",נתונים!B18,נתונים!B17))</f>
        <v>0.75</v>
      </c>
    </row>
    <row r="28" customFormat="false" ht="15" hidden="false" customHeight="true" outlineLevel="0" collapsed="false">
      <c r="A28" s="6" t="s">
        <v>25</v>
      </c>
      <c r="B28" s="15" t="n">
        <f aca="false">MIN(B7,B27)</f>
        <v>0.75</v>
      </c>
    </row>
    <row r="29" customFormat="false" ht="15" hidden="false" customHeight="true" outlineLevel="0" collapsed="false">
      <c r="A29" s="6" t="s">
        <v>26</v>
      </c>
      <c r="B29" s="13" t="n">
        <f aca="false">B5*B28</f>
        <v>1500000</v>
      </c>
    </row>
    <row r="30" customFormat="false" ht="15" hidden="false" customHeight="true" outlineLevel="0" collapsed="false">
      <c r="A30" s="6" t="s">
        <v>27</v>
      </c>
      <c r="B30" s="14" t="n">
        <f aca="false">B5-B29+B24</f>
        <v>559743.925</v>
      </c>
    </row>
    <row r="31" customFormat="false" ht="15" hidden="false" customHeight="true" outlineLevel="0" collapsed="false">
      <c r="A31" s="6" t="s">
        <v>28</v>
      </c>
      <c r="B31" s="14" t="n">
        <f aca="false">IF(B29&gt;0,PMT(B9/12,B8*12,-B29),0)</f>
        <v>8594.95443100284</v>
      </c>
    </row>
    <row r="32" customFormat="false" ht="15" hidden="false" customHeight="true" outlineLevel="0" collapsed="false">
      <c r="A32" s="6" t="s">
        <v>29</v>
      </c>
      <c r="B32" s="13" t="n">
        <f aca="false">B31*B8*12</f>
        <v>2578486.32930085</v>
      </c>
    </row>
    <row r="33" customFormat="false" ht="15" hidden="false" customHeight="true" outlineLevel="0" collapsed="false">
      <c r="A33" s="6" t="s">
        <v>30</v>
      </c>
      <c r="B33" s="13" t="n">
        <f aca="false">B32-B29</f>
        <v>1078486.32930085</v>
      </c>
    </row>
    <row r="34" customFormat="false" ht="15" hidden="false" customHeight="true" outlineLevel="0" collapsed="false">
      <c r="A34" s="6" t="s">
        <v>31</v>
      </c>
      <c r="B34" s="14" t="n">
        <f aca="false">IF(B15&gt;0,B31/B15,0)</f>
        <v>26045.3164575844</v>
      </c>
    </row>
    <row r="36" customFormat="false" ht="15" hidden="false" customHeight="true" outlineLevel="0" collapsed="false">
      <c r="A36" s="4" t="s">
        <v>32</v>
      </c>
      <c r="B36" s="5"/>
    </row>
    <row r="37" customFormat="false" ht="15" hidden="false" customHeight="true" outlineLevel="0" collapsed="false">
      <c r="A37" s="6" t="s">
        <v>33</v>
      </c>
      <c r="B37" s="13" t="n">
        <f aca="false">B10*12</f>
        <v>72000</v>
      </c>
    </row>
    <row r="38" customFormat="false" ht="15" hidden="false" customHeight="true" outlineLevel="0" collapsed="false">
      <c r="A38" s="6" t="s">
        <v>34</v>
      </c>
      <c r="B38" s="13" t="n">
        <f aca="false">B5+B24</f>
        <v>2059743.925</v>
      </c>
    </row>
    <row r="39" customFormat="false" ht="15" hidden="false" customHeight="true" outlineLevel="0" collapsed="false">
      <c r="A39" s="6" t="s">
        <v>35</v>
      </c>
      <c r="B39" s="16" t="n">
        <f aca="false">IF(B5&gt;0,B37/B5,0)</f>
        <v>0.036</v>
      </c>
    </row>
    <row r="40" customFormat="false" ht="15" hidden="false" customHeight="true" outlineLevel="0" collapsed="false">
      <c r="A40" s="6" t="s">
        <v>36</v>
      </c>
      <c r="B40" s="17" t="n">
        <f aca="false">IF(B38&gt;0,B37/B38,0)</f>
        <v>0.0349558016052894</v>
      </c>
    </row>
    <row r="41" customFormat="false" ht="15" hidden="false" customHeight="true" outlineLevel="0" collapsed="false">
      <c r="A41" s="6" t="s">
        <v>37</v>
      </c>
      <c r="B41" s="14" t="n">
        <f aca="false">B10-B31</f>
        <v>-2594.95443100284</v>
      </c>
    </row>
    <row r="42" customFormat="false" ht="15" hidden="false" customHeight="true" outlineLevel="0" collapsed="false">
      <c r="A42" s="6" t="s">
        <v>38</v>
      </c>
      <c r="B42" s="13" t="n">
        <f aca="false">B41*12</f>
        <v>-31139.4531720341</v>
      </c>
    </row>
    <row r="43" customFormat="false" ht="15" hidden="false" customHeight="true" outlineLevel="0" collapsed="false">
      <c r="A43" s="6" t="s">
        <v>39</v>
      </c>
      <c r="B43" s="16" t="n">
        <f aca="false">IF(B30&gt;0,B42/B30,0)</f>
        <v>-0.0556316054203431</v>
      </c>
    </row>
    <row r="45" customFormat="false" ht="15" hidden="false" customHeight="false" outlineLevel="0" collapsed="false">
      <c r="A45" s="4" t="s">
        <v>40</v>
      </c>
      <c r="B45" s="18"/>
    </row>
    <row r="46" customFormat="false" ht="15" hidden="false" customHeight="false" outlineLevel="0" collapsed="false">
      <c r="A46" s="6" t="s">
        <v>41</v>
      </c>
      <c r="B46" s="7" t="n">
        <v>0</v>
      </c>
    </row>
    <row r="47" customFormat="false" ht="15" hidden="false" customHeight="false" outlineLevel="0" collapsed="false">
      <c r="A47" s="6" t="s">
        <v>42</v>
      </c>
      <c r="B47" s="7" t="n">
        <v>0</v>
      </c>
    </row>
    <row r="48" customFormat="false" ht="15" hidden="false" customHeight="false" outlineLevel="0" collapsed="false">
      <c r="A48" s="6" t="s">
        <v>43</v>
      </c>
      <c r="B48" s="7" t="n">
        <v>0</v>
      </c>
    </row>
    <row r="49" customFormat="false" ht="15" hidden="false" customHeight="false" outlineLevel="0" collapsed="false">
      <c r="A49" s="6" t="s">
        <v>44</v>
      </c>
      <c r="B49" s="9" t="n">
        <v>0.05</v>
      </c>
    </row>
    <row r="50" customFormat="false" ht="15" hidden="false" customHeight="false" outlineLevel="0" collapsed="false">
      <c r="A50" s="6" t="s">
        <v>45</v>
      </c>
      <c r="B50" s="9" t="n">
        <v>0</v>
      </c>
    </row>
    <row r="51" customFormat="false" ht="15" hidden="false" customHeight="false" outlineLevel="0" collapsed="false">
      <c r="A51" s="6" t="s">
        <v>46</v>
      </c>
      <c r="B51" s="12" t="n">
        <v>0.083</v>
      </c>
    </row>
    <row r="52" customFormat="false" ht="15" hidden="false" customHeight="false" outlineLevel="0" collapsed="false">
      <c r="A52" s="6" t="s">
        <v>47</v>
      </c>
      <c r="B52" s="19" t="s">
        <v>48</v>
      </c>
    </row>
    <row r="53" customFormat="false" ht="15" hidden="false" customHeight="false" outlineLevel="0" collapsed="false">
      <c r="A53" s="6" t="s">
        <v>49</v>
      </c>
      <c r="B53" s="9" t="n">
        <v>0.31</v>
      </c>
    </row>
    <row r="54" customFormat="false" ht="15" hidden="false" customHeight="false" outlineLevel="0" collapsed="false">
      <c r="A54" s="6" t="s">
        <v>50</v>
      </c>
      <c r="B54" s="13" t="n">
        <f aca="false">(B46+B47+B48)*12+B10*(B49+B50)*12</f>
        <v>3600</v>
      </c>
    </row>
    <row r="55" customFormat="false" ht="15" hidden="false" customHeight="false" outlineLevel="0" collapsed="false">
      <c r="A55" s="6" t="s">
        <v>51</v>
      </c>
      <c r="B55" s="13" t="n">
        <f aca="false">IF(B10&lt;=נתונים!$B$28,0,IF(B10&gt;=2*נתונים!$B$28,B10*12,2*(B10-נתונים!$B$28)*12))*B53</f>
        <v>2574.24</v>
      </c>
    </row>
    <row r="56" customFormat="false" ht="15" hidden="false" customHeight="false" outlineLevel="0" collapsed="false">
      <c r="A56" s="6" t="s">
        <v>52</v>
      </c>
      <c r="B56" s="13" t="n">
        <f aca="false">B10*12*נתונים!$B$29</f>
        <v>7200</v>
      </c>
    </row>
    <row r="57" customFormat="false" ht="15" hidden="false" customHeight="false" outlineLevel="0" collapsed="false">
      <c r="A57" s="6" t="s">
        <v>53</v>
      </c>
      <c r="B57" s="13" t="n">
        <f aca="false">MAX(0,B10*12-B54-B5*0.7*נתונים!$B$31)*B53</f>
        <v>12524</v>
      </c>
    </row>
    <row r="58" customFormat="false" ht="15" hidden="false" customHeight="false" outlineLevel="0" collapsed="false">
      <c r="A58" s="6" t="s">
        <v>54</v>
      </c>
      <c r="B58" s="14" t="n">
        <f aca="false">IF(B52="הזול ביותר",MIN(B55,B56,B57),IF(B52="פטור",B55,IF(B52="10%",B56,B57)))</f>
        <v>2574.24</v>
      </c>
    </row>
    <row r="59" customFormat="false" ht="15" hidden="false" customHeight="false" outlineLevel="0" collapsed="false">
      <c r="A59" s="6" t="s">
        <v>55</v>
      </c>
      <c r="B59" s="20" t="n">
        <f aca="false">B37*(1-B51)-B54</f>
        <v>62424</v>
      </c>
    </row>
    <row r="60" customFormat="false" ht="15" hidden="false" customHeight="false" outlineLevel="0" collapsed="false">
      <c r="A60" s="6" t="s">
        <v>56</v>
      </c>
      <c r="B60" s="21" t="n">
        <f aca="false">IF(B38&gt;0,(B59-B58)/B38,0)</f>
        <v>0.0290568935650581</v>
      </c>
    </row>
    <row r="61" customFormat="false" ht="15" hidden="false" customHeight="false" outlineLevel="0" collapsed="false">
      <c r="A61" s="6" t="s">
        <v>57</v>
      </c>
      <c r="B61" s="22" t="n">
        <f aca="false">IF(B5&gt;0,B59/B5,0)</f>
        <v>0.031212</v>
      </c>
    </row>
    <row r="62" customFormat="false" ht="15" hidden="false" customHeight="false" outlineLevel="0" collapsed="false">
      <c r="A62" s="6" t="s">
        <v>58</v>
      </c>
      <c r="B62" s="20" t="n">
        <f aca="false">(B59-B58-B31*12)/12</f>
        <v>-3607.47443100284</v>
      </c>
    </row>
    <row r="63" customFormat="false" ht="15" hidden="false" customHeight="false" outlineLevel="0" collapsed="false">
      <c r="A63" s="6" t="s">
        <v>59</v>
      </c>
      <c r="B63" s="21" t="n">
        <f aca="false">IF(B30&gt;0,(B59-B58-B31*12)/B30,0)</f>
        <v>-0.0773383885712277</v>
      </c>
    </row>
    <row r="65" customFormat="false" ht="15" hidden="false" customHeight="false" outlineLevel="0" collapsed="false">
      <c r="A65" s="4" t="s">
        <v>60</v>
      </c>
      <c r="B65" s="18"/>
      <c r="C65" s="18"/>
      <c r="D65" s="18"/>
      <c r="E65" s="18"/>
    </row>
    <row r="66" customFormat="false" ht="15" hidden="false" customHeight="false" outlineLevel="0" collapsed="false">
      <c r="A66" s="23" t="s">
        <v>61</v>
      </c>
      <c r="B66" s="23" t="s">
        <v>62</v>
      </c>
      <c r="C66" s="23" t="s">
        <v>63</v>
      </c>
      <c r="D66" s="23" t="s">
        <v>64</v>
      </c>
      <c r="E66" s="23" t="s">
        <v>65</v>
      </c>
    </row>
    <row r="67" customFormat="false" ht="15" hidden="false" customHeight="false" outlineLevel="0" collapsed="false">
      <c r="A67" s="24" t="s">
        <v>66</v>
      </c>
      <c r="B67" s="9" t="n">
        <v>0</v>
      </c>
      <c r="C67" s="11" t="n">
        <v>0.055</v>
      </c>
      <c r="D67" s="25" t="n">
        <v>25</v>
      </c>
      <c r="E67" s="26" t="n">
        <f aca="false">IF(SUM($B$67:$B$69)&gt;0,PMT(C67/12,D67*12,-מחשבון!$B$29*B67/SUM($B$67:$B$69)),0)</f>
        <v>0</v>
      </c>
    </row>
    <row r="68" customFormat="false" ht="15" hidden="false" customHeight="false" outlineLevel="0" collapsed="false">
      <c r="A68" s="24" t="s">
        <v>67</v>
      </c>
      <c r="B68" s="9" t="n">
        <v>0</v>
      </c>
      <c r="C68" s="11" t="n">
        <v>0.045</v>
      </c>
      <c r="D68" s="25" t="n">
        <v>25</v>
      </c>
      <c r="E68" s="26" t="n">
        <f aca="false">IF(SUM($B$67:$B$69)&gt;0,PMT(C68/12,D68*12,-מחשבון!$B$29*B68/SUM($B$67:$B$69)),0)</f>
        <v>0</v>
      </c>
    </row>
    <row r="69" customFormat="false" ht="15" hidden="false" customHeight="false" outlineLevel="0" collapsed="false">
      <c r="A69" s="24" t="s">
        <v>68</v>
      </c>
      <c r="B69" s="9" t="n">
        <v>0</v>
      </c>
      <c r="C69" s="11" t="n">
        <v>0.032</v>
      </c>
      <c r="D69" s="25" t="n">
        <v>25</v>
      </c>
      <c r="E69" s="26" t="n">
        <f aca="false">IF(SUM($B$67:$B$69)&gt;0,PMT(C69/12,D69*12,-מחשבון!$B$29*B69/SUM($B$67:$B$69)),0)</f>
        <v>0</v>
      </c>
    </row>
    <row r="71" customFormat="false" ht="15" hidden="false" customHeight="false" outlineLevel="0" collapsed="false">
      <c r="A71" s="27" t="s">
        <v>69</v>
      </c>
      <c r="E71" s="28" t="n">
        <f aca="false">SUM(E67:E69)</f>
        <v>0</v>
      </c>
    </row>
    <row r="72" customFormat="false" ht="15" hidden="false" customHeight="false" outlineLevel="0" collapsed="false">
      <c r="A72" s="29" t="s">
        <v>70</v>
      </c>
      <c r="E72" s="30" t="n">
        <f aca="false">IF(SUM(B67:B69)&gt;0,SUMPRODUCT(B67:B69,C67:C69)/SUM(B67:B69),0)</f>
        <v>0</v>
      </c>
    </row>
    <row r="73" customFormat="false" ht="15" hidden="false" customHeight="false" outlineLevel="0" collapsed="false">
      <c r="A73" s="29" t="s">
        <v>71</v>
      </c>
      <c r="E73" s="31" t="n">
        <f aca="false">IF(SUM(B67:B69)&gt;0,B67/SUM(B67:B69),0)</f>
        <v>0</v>
      </c>
    </row>
    <row r="74" customFormat="false" ht="15" hidden="false" customHeight="false" outlineLevel="0" collapsed="false">
      <c r="A74" s="29" t="s">
        <v>72</v>
      </c>
      <c r="E74" s="32" t="str">
        <f aca="false">IF(E73&gt;נתונים!$B$32,"⚠️ חריגה ממגבלת 2/3","תקין")</f>
        <v>תקין</v>
      </c>
    </row>
    <row r="75" customFormat="false" ht="15" hidden="false" customHeight="false" outlineLevel="0" collapsed="false">
      <c r="A75" s="33" t="s">
        <v>73</v>
      </c>
    </row>
  </sheetData>
  <dataValidations count="2">
    <dataValidation allowBlank="false" errorStyle="stop" operator="between" showDropDown="false" showErrorMessage="false" showInputMessage="false" sqref="B6" type="list">
      <formula1>"דירה יחידה,משפר דיור,דירה להשקעה"</formula1>
      <formula2>0</formula2>
    </dataValidation>
    <dataValidation allowBlank="false" errorStyle="stop" operator="between" showDropDown="false" showErrorMessage="false" showInputMessage="false" sqref="B52" type="list">
      <formula1>"הזול ביותר,פטור,10%,שולי"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6"/>
  </cols>
  <sheetData>
    <row r="1" customFormat="false" ht="15" hidden="false" customHeight="true" outlineLevel="0" collapsed="false">
      <c r="A1" s="34" t="s">
        <v>74</v>
      </c>
    </row>
    <row r="3" customFormat="false" ht="15" hidden="false" customHeight="true" outlineLevel="0" collapsed="false">
      <c r="A3" s="35" t="s">
        <v>75</v>
      </c>
      <c r="B3" s="35"/>
      <c r="C3" s="35"/>
      <c r="D3" s="35"/>
    </row>
    <row r="4" customFormat="false" ht="15" hidden="false" customHeight="true" outlineLevel="0" collapsed="false">
      <c r="A4" s="34" t="s">
        <v>76</v>
      </c>
      <c r="B4" s="34" t="s">
        <v>77</v>
      </c>
      <c r="C4" s="34" t="s">
        <v>78</v>
      </c>
      <c r="D4" s="34" t="s">
        <v>79</v>
      </c>
    </row>
    <row r="5" customFormat="false" ht="15" hidden="false" customHeight="true" outlineLevel="0" collapsed="false">
      <c r="A5" s="36" t="n">
        <v>0</v>
      </c>
      <c r="B5" s="36" t="n">
        <v>1978745</v>
      </c>
      <c r="C5" s="37" t="n">
        <v>0</v>
      </c>
      <c r="D5" s="38" t="n">
        <f aca="false">MAX(0,MIN(מחשבון!$B$5,B5)-A5)*C5</f>
        <v>0</v>
      </c>
    </row>
    <row r="6" customFormat="false" ht="15" hidden="false" customHeight="true" outlineLevel="0" collapsed="false">
      <c r="A6" s="36" t="n">
        <v>1978745</v>
      </c>
      <c r="B6" s="36" t="n">
        <v>2347040</v>
      </c>
      <c r="C6" s="37" t="n">
        <v>0.035</v>
      </c>
      <c r="D6" s="38" t="n">
        <f aca="false">MAX(0,MIN(מחשבון!$B$5,B6)-A6)*C6</f>
        <v>743.925</v>
      </c>
    </row>
    <row r="7" customFormat="false" ht="15" hidden="false" customHeight="true" outlineLevel="0" collapsed="false">
      <c r="A7" s="36" t="n">
        <v>2347040</v>
      </c>
      <c r="B7" s="36" t="n">
        <v>6055070</v>
      </c>
      <c r="C7" s="37" t="n">
        <v>0.05</v>
      </c>
      <c r="D7" s="38" t="n">
        <f aca="false">MAX(0,MIN(מחשבון!$B$5,B7)-A7)*C7</f>
        <v>0</v>
      </c>
    </row>
    <row r="8" customFormat="false" ht="15" hidden="false" customHeight="true" outlineLevel="0" collapsed="false">
      <c r="A8" s="36" t="n">
        <v>6055070</v>
      </c>
      <c r="B8" s="36" t="n">
        <v>20183565</v>
      </c>
      <c r="C8" s="37" t="n">
        <v>0.08</v>
      </c>
      <c r="D8" s="38" t="n">
        <f aca="false">MAX(0,MIN(מחשבון!$B$5,B8)-A8)*C8</f>
        <v>0</v>
      </c>
    </row>
    <row r="9" customFormat="false" ht="15" hidden="false" customHeight="true" outlineLevel="0" collapsed="false">
      <c r="A9" s="36" t="n">
        <v>20183565</v>
      </c>
      <c r="B9" s="36" t="n">
        <v>999999999</v>
      </c>
      <c r="C9" s="37" t="n">
        <v>0.1</v>
      </c>
      <c r="D9" s="38" t="n">
        <f aca="false">MAX(0,MIN(מחשבון!$B$5,B9)-A9)*C9</f>
        <v>0</v>
      </c>
    </row>
    <row r="11" customFormat="false" ht="15" hidden="false" customHeight="true" outlineLevel="0" collapsed="false">
      <c r="A11" s="35" t="s">
        <v>80</v>
      </c>
      <c r="B11" s="35"/>
      <c r="C11" s="35"/>
      <c r="D11" s="35"/>
    </row>
    <row r="12" customFormat="false" ht="15" hidden="false" customHeight="true" outlineLevel="0" collapsed="false">
      <c r="A12" s="34" t="s">
        <v>76</v>
      </c>
      <c r="B12" s="34" t="s">
        <v>77</v>
      </c>
      <c r="C12" s="34" t="s">
        <v>78</v>
      </c>
      <c r="D12" s="34" t="s">
        <v>79</v>
      </c>
    </row>
    <row r="13" customFormat="false" ht="15" hidden="false" customHeight="true" outlineLevel="0" collapsed="false">
      <c r="A13" s="36" t="n">
        <v>0</v>
      </c>
      <c r="B13" s="36" t="n">
        <v>6055070</v>
      </c>
      <c r="C13" s="37" t="n">
        <v>0.08</v>
      </c>
      <c r="D13" s="38" t="n">
        <f aca="false">MAX(0,MIN(מחשבון!$B$5,B13)-A13)*C13</f>
        <v>160000</v>
      </c>
    </row>
    <row r="14" customFormat="false" ht="15" hidden="false" customHeight="true" outlineLevel="0" collapsed="false">
      <c r="A14" s="36" t="n">
        <v>6055070</v>
      </c>
      <c r="B14" s="36" t="n">
        <v>999999999</v>
      </c>
      <c r="C14" s="37" t="n">
        <v>0.1</v>
      </c>
      <c r="D14" s="38" t="n">
        <f aca="false">MAX(0,MIN(מחשבון!$B$5,B14)-A14)*C14</f>
        <v>0</v>
      </c>
    </row>
    <row r="16" customFormat="false" ht="15" hidden="false" customHeight="true" outlineLevel="0" collapsed="false">
      <c r="A16" s="35" t="s">
        <v>81</v>
      </c>
      <c r="B16" s="35"/>
    </row>
    <row r="17" customFormat="false" ht="15" hidden="false" customHeight="true" outlineLevel="0" collapsed="false">
      <c r="A17" s="39" t="s">
        <v>82</v>
      </c>
      <c r="B17" s="40" t="n">
        <v>0.75</v>
      </c>
    </row>
    <row r="18" customFormat="false" ht="15" hidden="false" customHeight="true" outlineLevel="0" collapsed="false">
      <c r="A18" s="39" t="s">
        <v>83</v>
      </c>
      <c r="B18" s="40" t="n">
        <v>0.7</v>
      </c>
    </row>
    <row r="19" customFormat="false" ht="15" hidden="false" customHeight="true" outlineLevel="0" collapsed="false">
      <c r="A19" s="39" t="s">
        <v>84</v>
      </c>
      <c r="B19" s="40" t="n">
        <v>0.5</v>
      </c>
    </row>
    <row r="21" customFormat="false" ht="15" hidden="false" customHeight="true" outlineLevel="0" collapsed="false">
      <c r="A21" s="35" t="s">
        <v>85</v>
      </c>
      <c r="B21" s="35"/>
    </row>
    <row r="22" customFormat="false" ht="15" hidden="false" customHeight="true" outlineLevel="0" collapsed="false">
      <c r="A22" s="39" t="s">
        <v>86</v>
      </c>
      <c r="B22" s="40" t="n">
        <v>0.25</v>
      </c>
    </row>
    <row r="23" customFormat="false" ht="15" hidden="false" customHeight="true" outlineLevel="0" collapsed="false">
      <c r="A23" s="39" t="s">
        <v>87</v>
      </c>
      <c r="B23" s="37" t="n">
        <v>0.03</v>
      </c>
    </row>
    <row r="24" customFormat="false" ht="15" hidden="false" customHeight="true" outlineLevel="0" collapsed="false">
      <c r="A24" s="39" t="s">
        <v>88</v>
      </c>
      <c r="B24" s="37" t="n">
        <v>0.035</v>
      </c>
    </row>
    <row r="25" customFormat="false" ht="15" hidden="false" customHeight="false" outlineLevel="0" collapsed="false">
      <c r="A25" s="41" t="s">
        <v>89</v>
      </c>
      <c r="B25" s="42" t="n">
        <v>0.05</v>
      </c>
    </row>
    <row r="26" customFormat="false" ht="15" hidden="false" customHeight="false" outlineLevel="0" collapsed="false">
      <c r="A26" s="41" t="s">
        <v>90</v>
      </c>
      <c r="B26" s="43" t="n">
        <v>5008000</v>
      </c>
    </row>
    <row r="27" customFormat="false" ht="15" hidden="false" customHeight="false" outlineLevel="0" collapsed="false">
      <c r="A27" s="41" t="s">
        <v>91</v>
      </c>
      <c r="B27" s="44" t="n">
        <v>0.025</v>
      </c>
    </row>
    <row r="28" customFormat="false" ht="15" hidden="false" customHeight="false" outlineLevel="0" collapsed="false">
      <c r="A28" s="41" t="s">
        <v>92</v>
      </c>
      <c r="B28" s="43" t="n">
        <v>5654</v>
      </c>
    </row>
    <row r="29" customFormat="false" ht="15" hidden="false" customHeight="false" outlineLevel="0" collapsed="false">
      <c r="A29" s="41" t="s">
        <v>93</v>
      </c>
      <c r="B29" s="42" t="n">
        <v>0.1</v>
      </c>
    </row>
    <row r="30" customFormat="false" ht="15" hidden="false" customHeight="false" outlineLevel="0" collapsed="false">
      <c r="A30" s="41" t="s">
        <v>94</v>
      </c>
      <c r="B30" s="42" t="n">
        <v>0.31</v>
      </c>
    </row>
    <row r="31" customFormat="false" ht="15" hidden="false" customHeight="false" outlineLevel="0" collapsed="false">
      <c r="A31" s="41" t="s">
        <v>95</v>
      </c>
      <c r="B31" s="42" t="n">
        <v>0.02</v>
      </c>
    </row>
    <row r="32" customFormat="false" ht="15" hidden="false" customHeight="false" outlineLevel="0" collapsed="false">
      <c r="A32" s="41" t="s">
        <v>96</v>
      </c>
      <c r="B32" s="42" t="n">
        <v>0.666666666666667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5" min="3" style="1" width="15"/>
    <col collapsed="false" customWidth="true" hidden="false" outlineLevel="0" max="6" min="6" style="1" width="16"/>
  </cols>
  <sheetData>
    <row r="1" customFormat="false" ht="18" hidden="false" customHeight="true" outlineLevel="0" collapsed="false">
      <c r="A1" s="45" t="s">
        <v>97</v>
      </c>
    </row>
    <row r="2" customFormat="false" ht="15" hidden="false" customHeight="true" outlineLevel="0" collapsed="false">
      <c r="A2" s="3" t="s">
        <v>98</v>
      </c>
    </row>
    <row r="4" customFormat="false" ht="15" hidden="false" customHeight="true" outlineLevel="0" collapsed="false">
      <c r="A4" s="23" t="s">
        <v>99</v>
      </c>
      <c r="B4" s="23" t="s">
        <v>100</v>
      </c>
      <c r="C4" s="23" t="s">
        <v>101</v>
      </c>
      <c r="D4" s="23" t="s">
        <v>102</v>
      </c>
      <c r="E4" s="23" t="s">
        <v>103</v>
      </c>
      <c r="F4" s="23" t="s">
        <v>104</v>
      </c>
    </row>
    <row r="5" customFormat="false" ht="15" hidden="false" customHeight="true" outlineLevel="0" collapsed="false">
      <c r="A5" s="46" t="n">
        <v>1</v>
      </c>
      <c r="B5" s="47" t="n">
        <f aca="false">IF(1&gt;מחשבון!$B$8,0,מחשבון!$B$29)</f>
        <v>1500000</v>
      </c>
      <c r="C5" s="47" t="n">
        <f aca="false">IF(1&gt;מחשבון!$B$8,0,IF(F5=0,E5+ (B5*(מחשבון!$B$9)),מחשבון!$B$31*12))</f>
        <v>103139.453172034</v>
      </c>
      <c r="D5" s="47" t="n">
        <f aca="false">MAX(0,C5-E5)</f>
        <v>71305.7150538657</v>
      </c>
      <c r="E5" s="47" t="n">
        <f aca="false">B5-F5</f>
        <v>31833.7381181684</v>
      </c>
      <c r="F5" s="47" t="n">
        <f aca="false">IF(1&gt;מחשבון!$B$8,0,IF(מחשבון!$B$9=0,MAX(0,B5-מחשבון!$B$31*12),MAX(0,B5*(1+מחשבון!$B$9/12)^12-מחשבון!$B$31*(((1+מחשבון!$B$9/12)^12-1)/(מחשבון!$B$9/12)))))</f>
        <v>1468166.26188183</v>
      </c>
    </row>
    <row r="6" customFormat="false" ht="15" hidden="false" customHeight="true" outlineLevel="0" collapsed="false">
      <c r="A6" s="48" t="n">
        <v>2</v>
      </c>
      <c r="B6" s="49" t="n">
        <f aca="false">IF(2&gt;מחשבון!$B$8,0,F5)</f>
        <v>1468166.26188183</v>
      </c>
      <c r="C6" s="49" t="n">
        <f aca="false">IF(2&gt;מחשבון!$B$8,0,IF(F6=0,E6+ (B6*(מחשבון!$B$9)),מחשבון!$B$31*12))</f>
        <v>103139.453172034</v>
      </c>
      <c r="D6" s="49" t="n">
        <f aca="false">MAX(0,C6-E6)</f>
        <v>69743.6269177985</v>
      </c>
      <c r="E6" s="49" t="n">
        <f aca="false">B6-F6</f>
        <v>33395.8262542356</v>
      </c>
      <c r="F6" s="49" t="n">
        <f aca="false">IF(2&gt;מחשבון!$B$8,0,IF(מחשבון!$B$9=0,MAX(0,B6-מחשבון!$B$31*12),MAX(0,B6*(1+מחשבון!$B$9/12)^12-מחשבון!$B$31*(((1+מחשבון!$B$9/12)^12-1)/(מחשבון!$B$9/12)))))</f>
        <v>1434770.4356276</v>
      </c>
    </row>
    <row r="7" customFormat="false" ht="15" hidden="false" customHeight="true" outlineLevel="0" collapsed="false">
      <c r="A7" s="46" t="n">
        <v>3</v>
      </c>
      <c r="B7" s="47" t="n">
        <f aca="false">IF(3&gt;מחשבון!$B$8,0,F6)</f>
        <v>1434770.4356276</v>
      </c>
      <c r="C7" s="47" t="n">
        <f aca="false">IF(3&gt;מחשבון!$B$8,0,IF(F7=0,E7+ (B7*(מחשבון!$B$9)),מחשבון!$B$31*12))</f>
        <v>103139.453172034</v>
      </c>
      <c r="D7" s="47" t="n">
        <f aca="false">MAX(0,C7-E7)</f>
        <v>68104.8867927068</v>
      </c>
      <c r="E7" s="47" t="n">
        <f aca="false">B7-F7</f>
        <v>35034.5663793273</v>
      </c>
      <c r="F7" s="47" t="n">
        <f aca="false">IF(3&gt;מחשבון!$B$8,0,IF(מחשבון!$B$9=0,MAX(0,B7-מחשבון!$B$31*12),MAX(0,B7*(1+מחשבון!$B$9/12)^12-מחשבון!$B$31*(((1+מחשבון!$B$9/12)^12-1)/(מחשבון!$B$9/12)))))</f>
        <v>1399735.86924827</v>
      </c>
    </row>
    <row r="8" customFormat="false" ht="15" hidden="false" customHeight="true" outlineLevel="0" collapsed="false">
      <c r="A8" s="48" t="n">
        <v>4</v>
      </c>
      <c r="B8" s="49" t="n">
        <f aca="false">IF(4&gt;מחשבון!$B$8,0,F7)</f>
        <v>1399735.86924827</v>
      </c>
      <c r="C8" s="49" t="n">
        <f aca="false">IF(4&gt;מחשבון!$B$8,0,IF(F8=0,E8+ (B8*(מחשבון!$B$9)),מחשבון!$B$31*12))</f>
        <v>103139.453172034</v>
      </c>
      <c r="D8" s="49" t="n">
        <f aca="false">MAX(0,C8-E8)</f>
        <v>66385.7333495813</v>
      </c>
      <c r="E8" s="49" t="n">
        <f aca="false">B8-F8</f>
        <v>36753.7198224529</v>
      </c>
      <c r="F8" s="49" t="n">
        <f aca="false">IF(4&gt;מחשבון!$B$8,0,IF(מחשבון!$B$9=0,MAX(0,B8-מחשבון!$B$31*12),MAX(0,B8*(1+מחשבון!$B$9/12)^12-מחשבון!$B$31*(((1+מחשבון!$B$9/12)^12-1)/(מחשבון!$B$9/12)))))</f>
        <v>1362982.14942582</v>
      </c>
    </row>
    <row r="9" customFormat="false" ht="15" hidden="false" customHeight="true" outlineLevel="0" collapsed="false">
      <c r="A9" s="46" t="n">
        <v>5</v>
      </c>
      <c r="B9" s="47" t="n">
        <f aca="false">IF(5&gt;מחשבון!$B$8,0,F8)</f>
        <v>1362982.14942582</v>
      </c>
      <c r="C9" s="47" t="n">
        <f aca="false">IF(5&gt;מחשבון!$B$8,0,IF(F9=0,E9+ (B9*(מחשבון!$B$9)),מחשבון!$B$31*12))</f>
        <v>103139.453172034</v>
      </c>
      <c r="D9" s="47" t="n">
        <f aca="false">MAX(0,C9-E9)</f>
        <v>64582.2206902176</v>
      </c>
      <c r="E9" s="47" t="n">
        <f aca="false">B9-F9</f>
        <v>38557.2324818166</v>
      </c>
      <c r="F9" s="47" t="n">
        <f aca="false">IF(5&gt;מחשבון!$B$8,0,IF(מחשבון!$B$9=0,MAX(0,B9-מחשבון!$B$31*12),MAX(0,B9*(1+מחשבון!$B$9/12)^12-מחשבון!$B$31*(((1+מחשבון!$B$9/12)^12-1)/(מחשבון!$B$9/12)))))</f>
        <v>1324424.916944</v>
      </c>
    </row>
    <row r="10" customFormat="false" ht="15" hidden="false" customHeight="true" outlineLevel="0" collapsed="false">
      <c r="A10" s="48" t="n">
        <v>6</v>
      </c>
      <c r="B10" s="49" t="n">
        <f aca="false">IF(6&gt;מחשבון!$B$8,0,F9)</f>
        <v>1324424.916944</v>
      </c>
      <c r="C10" s="49" t="n">
        <f aca="false">IF(6&gt;מחשבון!$B$8,0,IF(F10=0,E10+ (B10*(מחשבון!$B$9)),מחשבון!$B$31*12))</f>
        <v>103139.453172034</v>
      </c>
      <c r="D10" s="49" t="n">
        <f aca="false">MAX(0,C10-E10)</f>
        <v>62690.2092903671</v>
      </c>
      <c r="E10" s="49" t="n">
        <f aca="false">B10-F10</f>
        <v>40449.243881667</v>
      </c>
      <c r="F10" s="49" t="n">
        <f aca="false">IF(6&gt;מחשבון!$B$8,0,IF(מחשבון!$B$9=0,MAX(0,B10-מחשבון!$B$31*12),MAX(0,B10*(1+מחשבון!$B$9/12)^12-מחשבון!$B$31*(((1+מחשבון!$B$9/12)^12-1)/(מחשבון!$B$9/12)))))</f>
        <v>1283975.67306233</v>
      </c>
    </row>
    <row r="11" customFormat="false" ht="15" hidden="false" customHeight="true" outlineLevel="0" collapsed="false">
      <c r="A11" s="46" t="n">
        <v>7</v>
      </c>
      <c r="B11" s="47" t="n">
        <f aca="false">IF(7&gt;מחשבון!$B$8,0,F10)</f>
        <v>1283975.67306233</v>
      </c>
      <c r="C11" s="47" t="n">
        <f aca="false">IF(7&gt;מחשבון!$B$8,0,IF(F11=0,E11+ (B11*(מחשבון!$B$9)),מחשבון!$B$31*12))</f>
        <v>103139.453172034</v>
      </c>
      <c r="D11" s="47" t="n">
        <f aca="false">MAX(0,C11-E11)</f>
        <v>60705.3564984677</v>
      </c>
      <c r="E11" s="47" t="n">
        <f aca="false">B11-F11</f>
        <v>42434.0966735664</v>
      </c>
      <c r="F11" s="47" t="n">
        <f aca="false">IF(7&gt;מחשבון!$B$8,0,IF(מחשבון!$B$9=0,MAX(0,B11-מחשבון!$B$31*12),MAX(0,B11*(1+מחשבון!$B$9/12)^12-מחשבון!$B$31*(((1+מחשבון!$B$9/12)^12-1)/(מחשבון!$B$9/12)))))</f>
        <v>1241541.57638877</v>
      </c>
    </row>
    <row r="12" customFormat="false" ht="15" hidden="false" customHeight="true" outlineLevel="0" collapsed="false">
      <c r="A12" s="48" t="n">
        <v>8</v>
      </c>
      <c r="B12" s="49" t="n">
        <f aca="false">IF(8&gt;מחשבון!$B$8,0,F11)</f>
        <v>1241541.57638877</v>
      </c>
      <c r="C12" s="49" t="n">
        <f aca="false">IF(8&gt;מחשבון!$B$8,0,IF(F12=0,E12+ (B12*(מחשבון!$B$9)),מחשבון!$B$31*12))</f>
        <v>103139.453172034</v>
      </c>
      <c r="D12" s="49" t="n">
        <f aca="false">MAX(0,C12-E12)</f>
        <v>58623.1065681437</v>
      </c>
      <c r="E12" s="49" t="n">
        <f aca="false">B12-F12</f>
        <v>44516.3466038904</v>
      </c>
      <c r="F12" s="49" t="n">
        <f aca="false">IF(8&gt;מחשבון!$B$8,0,IF(מחשבון!$B$9=0,MAX(0,B12-מחשבון!$B$31*12),MAX(0,B12*(1+מחשבון!$B$9/12)^12-מחשבון!$B$31*(((1+מחשבון!$B$9/12)^12-1)/(מחשבון!$B$9/12)))))</f>
        <v>1197025.22978488</v>
      </c>
    </row>
    <row r="13" customFormat="false" ht="15" hidden="false" customHeight="true" outlineLevel="0" collapsed="false">
      <c r="A13" s="46" t="n">
        <v>9</v>
      </c>
      <c r="B13" s="47" t="n">
        <f aca="false">IF(9&gt;מחשבון!$B$8,0,F12)</f>
        <v>1197025.22978488</v>
      </c>
      <c r="C13" s="47" t="n">
        <f aca="false">IF(9&gt;מחשבון!$B$8,0,IF(F13=0,E13+ (B13*(מחשבון!$B$9)),מחשבון!$B$31*12))</f>
        <v>103139.453172034</v>
      </c>
      <c r="D13" s="47" t="n">
        <f aca="false">MAX(0,C13-E13)</f>
        <v>56438.6802015994</v>
      </c>
      <c r="E13" s="47" t="n">
        <f aca="false">B13-F13</f>
        <v>46700.7729704347</v>
      </c>
      <c r="F13" s="47" t="n">
        <f aca="false">IF(9&gt;מחשבון!$B$8,0,IF(מחשבון!$B$9=0,MAX(0,B13-מחשבון!$B$31*12),MAX(0,B13*(1+מחשבון!$B$9/12)^12-מחשבון!$B$31*(((1+מחשבון!$B$9/12)^12-1)/(מחשבון!$B$9/12)))))</f>
        <v>1150324.45681444</v>
      </c>
    </row>
    <row r="14" customFormat="false" ht="15" hidden="false" customHeight="true" outlineLevel="0" collapsed="false">
      <c r="A14" s="48" t="n">
        <v>10</v>
      </c>
      <c r="B14" s="49" t="n">
        <f aca="false">IF(10&gt;מחשבון!$B$8,0,F13)</f>
        <v>1150324.45681444</v>
      </c>
      <c r="C14" s="49" t="n">
        <f aca="false">IF(10&gt;מחשבון!$B$8,0,IF(F14=0,E14+ (B14*(מחשבון!$B$9)),מחשבון!$B$31*12))</f>
        <v>103139.453172034</v>
      </c>
      <c r="D14" s="49" t="n">
        <f aca="false">MAX(0,C14-E14)</f>
        <v>54147.0635799044</v>
      </c>
      <c r="E14" s="49" t="n">
        <f aca="false">B14-F14</f>
        <v>48992.3895921297</v>
      </c>
      <c r="F14" s="49" t="n">
        <f aca="false">IF(10&gt;מחשבון!$B$8,0,IF(מחשבון!$B$9=0,MAX(0,B14-מחשבון!$B$31*12),MAX(0,B14*(1+מחשבון!$B$9/12)^12-מחשבון!$B$31*(((1+מחשבון!$B$9/12)^12-1)/(מחשבון!$B$9/12)))))</f>
        <v>1101332.06722231</v>
      </c>
    </row>
    <row r="15" customFormat="false" ht="15" hidden="false" customHeight="true" outlineLevel="0" collapsed="false">
      <c r="A15" s="46" t="n">
        <v>11</v>
      </c>
      <c r="B15" s="47" t="n">
        <f aca="false">IF(11&gt;מחשבון!$B$8,0,F14)</f>
        <v>1101332.06722231</v>
      </c>
      <c r="C15" s="47" t="n">
        <f aca="false">IF(11&gt;מחשבון!$B$8,0,IF(F15=0,E15+ (B15*(מחשבון!$B$9)),מחשבון!$B$31*12))</f>
        <v>103139.453172034</v>
      </c>
      <c r="D15" s="47" t="n">
        <f aca="false">MAX(0,C15-E15)</f>
        <v>51742.9968549926</v>
      </c>
      <c r="E15" s="47" t="n">
        <f aca="false">B15-F15</f>
        <v>51396.4563170415</v>
      </c>
      <c r="F15" s="47" t="n">
        <f aca="false">IF(11&gt;מחשבון!$B$8,0,IF(מחשבון!$B$9=0,MAX(0,B15-מחשבון!$B$31*12),MAX(0,B15*(1+מחשבון!$B$9/12)^12-מחשבון!$B$31*(((1+מחשבון!$B$9/12)^12-1)/(מחשבון!$B$9/12)))))</f>
        <v>1049935.61090527</v>
      </c>
    </row>
    <row r="16" customFormat="false" ht="15" hidden="false" customHeight="true" outlineLevel="0" collapsed="false">
      <c r="A16" s="48" t="n">
        <v>12</v>
      </c>
      <c r="B16" s="49" t="n">
        <f aca="false">IF(12&gt;מחשבון!$B$8,0,F15)</f>
        <v>1049935.61090527</v>
      </c>
      <c r="C16" s="49" t="n">
        <f aca="false">IF(12&gt;מחשבון!$B$8,0,IF(F16=0,E16+ (B16*(מחשבון!$B$9)),מחשבון!$B$31*12))</f>
        <v>103139.453172034</v>
      </c>
      <c r="D16" s="49" t="n">
        <f aca="false">MAX(0,C16-E16)</f>
        <v>49220.9620769619</v>
      </c>
      <c r="E16" s="49" t="n">
        <f aca="false">B16-F16</f>
        <v>53918.4910950722</v>
      </c>
      <c r="F16" s="49" t="n">
        <f aca="false">IF(12&gt;מחשבון!$B$8,0,IF(מחשבון!$B$9=0,MAX(0,B16-מחשבון!$B$31*12),MAX(0,B16*(1+מחשבון!$B$9/12)^12-מחשבון!$B$31*(((1+מחשבון!$B$9/12)^12-1)/(מחשבון!$B$9/12)))))</f>
        <v>996017.119810197</v>
      </c>
    </row>
    <row r="17" customFormat="false" ht="15" hidden="false" customHeight="true" outlineLevel="0" collapsed="false">
      <c r="A17" s="46" t="n">
        <v>13</v>
      </c>
      <c r="B17" s="47" t="n">
        <f aca="false">IF(13&gt;מחשבון!$B$8,0,F16)</f>
        <v>996017.119810197</v>
      </c>
      <c r="C17" s="47" t="n">
        <f aca="false">IF(13&gt;מחשבון!$B$8,0,IF(F17=0,E17+ (B17*(מחשבון!$B$9)),מחשבון!$B$31*12))</f>
        <v>103139.453172034</v>
      </c>
      <c r="D17" s="47" t="n">
        <f aca="false">MAX(0,C17-E17)</f>
        <v>46575.1705289631</v>
      </c>
      <c r="E17" s="47" t="n">
        <f aca="false">B17-F17</f>
        <v>56564.282643071</v>
      </c>
      <c r="F17" s="47" t="n">
        <f aca="false">IF(13&gt;מחשבון!$B$8,0,IF(מחשבון!$B$9=0,MAX(0,B17-מחשבון!$B$31*12),MAX(0,B17*(1+מחשבון!$B$9/12)^12-מחשבון!$B$31*(((1+מחשבון!$B$9/12)^12-1)/(מחשבון!$B$9/12)))))</f>
        <v>939452.837167126</v>
      </c>
    </row>
    <row r="18" customFormat="false" ht="15" hidden="false" customHeight="true" outlineLevel="0" collapsed="false">
      <c r="A18" s="48" t="n">
        <v>14</v>
      </c>
      <c r="B18" s="49" t="n">
        <f aca="false">IF(14&gt;מחשבון!$B$8,0,F17)</f>
        <v>939452.837167126</v>
      </c>
      <c r="C18" s="49" t="n">
        <f aca="false">IF(14&gt;מחשבון!$B$8,0,IF(F18=0,E18+ (B18*(מחשבון!$B$9)),מחשבון!$B$31*12))</f>
        <v>103139.453172034</v>
      </c>
      <c r="D18" s="49" t="n">
        <f aca="false">MAX(0,C18-E18)</f>
        <v>43799.5494406101</v>
      </c>
      <c r="E18" s="49" t="n">
        <f aca="false">B18-F18</f>
        <v>59339.903731424</v>
      </c>
      <c r="F18" s="49" t="n">
        <f aca="false">IF(14&gt;מחשבון!$B$8,0,IF(מחשבון!$B$9=0,MAX(0,B18-מחשבון!$B$31*12),MAX(0,B18*(1+מחשבון!$B$9/12)^12-מחשבון!$B$31*(((1+מחשבון!$B$9/12)^12-1)/(מחשבון!$B$9/12)))))</f>
        <v>880112.933435702</v>
      </c>
    </row>
    <row r="19" customFormat="false" ht="15" hidden="false" customHeight="true" outlineLevel="0" collapsed="false">
      <c r="A19" s="46" t="n">
        <v>15</v>
      </c>
      <c r="B19" s="47" t="n">
        <f aca="false">IF(15&gt;מחשבון!$B$8,0,F18)</f>
        <v>880112.933435702</v>
      </c>
      <c r="C19" s="47" t="n">
        <f aca="false">IF(15&gt;מחשבון!$B$8,0,IF(F19=0,E19+ (B19*(מחשבון!$B$9)),מחשבון!$B$31*12))</f>
        <v>103139.453172034</v>
      </c>
      <c r="D19" s="47" t="n">
        <f aca="false">MAX(0,C19-E19)</f>
        <v>40887.7280494138</v>
      </c>
      <c r="E19" s="47" t="n">
        <f aca="false">B19-F19</f>
        <v>62251.7251226204</v>
      </c>
      <c r="F19" s="47" t="n">
        <f aca="false">IF(15&gt;מחשבון!$B$8,0,IF(מחשבון!$B$9=0,MAX(0,B19-מחשבון!$B$31*12),MAX(0,B19*(1+מחשבון!$B$9/12)^12-מחשבון!$B$31*(((1+מחשבון!$B$9/12)^12-1)/(מחשבון!$B$9/12)))))</f>
        <v>817861.208313082</v>
      </c>
    </row>
    <row r="20" customFormat="false" ht="15" hidden="false" customHeight="true" outlineLevel="0" collapsed="false">
      <c r="A20" s="48" t="n">
        <v>16</v>
      </c>
      <c r="B20" s="49" t="n">
        <f aca="false">IF(16&gt;מחשבון!$B$8,0,F19)</f>
        <v>817861.208313082</v>
      </c>
      <c r="C20" s="49" t="n">
        <f aca="false">IF(16&gt;מחשבון!$B$8,0,IF(F20=0,E20+ (B20*(מחשבון!$B$9)),מחשבון!$B$31*12))</f>
        <v>103139.453172034</v>
      </c>
      <c r="D20" s="49" t="n">
        <f aca="false">MAX(0,C20-E20)</f>
        <v>37833.0229782471</v>
      </c>
      <c r="E20" s="49" t="n">
        <f aca="false">B20-F20</f>
        <v>65306.430193787</v>
      </c>
      <c r="F20" s="49" t="n">
        <f aca="false">IF(16&gt;מחשבון!$B$8,0,IF(מחשבון!$B$9=0,MAX(0,B20-מחשבון!$B$31*12),MAX(0,B20*(1+מחשבון!$B$9/12)^12-מחשבון!$B$31*(((1+מחשבון!$B$9/12)^12-1)/(מחשבון!$B$9/12)))))</f>
        <v>752554.778119295</v>
      </c>
    </row>
    <row r="21" customFormat="false" ht="15" hidden="false" customHeight="true" outlineLevel="0" collapsed="false">
      <c r="A21" s="46" t="n">
        <v>17</v>
      </c>
      <c r="B21" s="47" t="n">
        <f aca="false">IF(17&gt;מחשבון!$B$8,0,F20)</f>
        <v>752554.778119295</v>
      </c>
      <c r="C21" s="47" t="n">
        <f aca="false">IF(17&gt;מחשבון!$B$8,0,IF(F21=0,E21+ (B21*(מחשבון!$B$9)),מחשבון!$B$31*12))</f>
        <v>103139.453172034</v>
      </c>
      <c r="D21" s="47" t="n">
        <f aca="false">MAX(0,C21-E21)</f>
        <v>34628.4228952808</v>
      </c>
      <c r="E21" s="47" t="n">
        <f aca="false">B21-F21</f>
        <v>68511.0302767534</v>
      </c>
      <c r="F21" s="47" t="n">
        <f aca="false">IF(17&gt;מחשבון!$B$8,0,IF(מחשבון!$B$9=0,MAX(0,B21-מחשבון!$B$31*12),MAX(0,B21*(1+מחשבון!$B$9/12)^12-מחשבון!$B$31*(((1+מחשבון!$B$9/12)^12-1)/(מחשבון!$B$9/12)))))</f>
        <v>684043.747842541</v>
      </c>
    </row>
    <row r="22" customFormat="false" ht="15" hidden="false" customHeight="true" outlineLevel="0" collapsed="false">
      <c r="A22" s="48" t="n">
        <v>18</v>
      </c>
      <c r="B22" s="49" t="n">
        <f aca="false">IF(18&gt;מחשבון!$B$8,0,F21)</f>
        <v>684043.747842541</v>
      </c>
      <c r="C22" s="49" t="n">
        <f aca="false">IF(18&gt;מחשבון!$B$8,0,IF(F22=0,E22+ (B22*(מחשבון!$B$9)),מחשבון!$B$31*12))</f>
        <v>103139.453172034</v>
      </c>
      <c r="D22" s="49" t="n">
        <f aca="false">MAX(0,C22-E22)</f>
        <v>31266.5724211771</v>
      </c>
      <c r="E22" s="49" t="n">
        <f aca="false">B22-F22</f>
        <v>71872.8807508571</v>
      </c>
      <c r="F22" s="49" t="n">
        <f aca="false">IF(18&gt;מחשבון!$B$8,0,IF(מחשבון!$B$9=0,MAX(0,B22-מחשבון!$B$31*12),MAX(0,B22*(1+מחשבון!$B$9/12)^12-מחשבון!$B$31*(((1+מחשבון!$B$9/12)^12-1)/(מחשבון!$B$9/12)))))</f>
        <v>612170.867091684</v>
      </c>
    </row>
    <row r="23" customFormat="false" ht="15" hidden="false" customHeight="true" outlineLevel="0" collapsed="false">
      <c r="A23" s="46" t="n">
        <v>19</v>
      </c>
      <c r="B23" s="47" t="n">
        <f aca="false">IF(19&gt;מחשבון!$B$8,0,F22)</f>
        <v>612170.867091684</v>
      </c>
      <c r="C23" s="47" t="n">
        <f aca="false">IF(19&gt;מחשבון!$B$8,0,IF(F23=0,E23+ (B23*(מחשבון!$B$9)),מחשבון!$B$31*12))</f>
        <v>103139.453172034</v>
      </c>
      <c r="D23" s="47" t="n">
        <f aca="false">MAX(0,C23-E23)</f>
        <v>27739.7552466082</v>
      </c>
      <c r="E23" s="47" t="n">
        <f aca="false">B23-F23</f>
        <v>75399.697925426</v>
      </c>
      <c r="F23" s="47" t="n">
        <f aca="false">IF(19&gt;מחשבון!$B$8,0,IF(מחשבון!$B$9=0,MAX(0,B23-מחשבון!$B$31*12),MAX(0,B23*(1+מחשבון!$B$9/12)^12-מחשבון!$B$31*(((1+מחשבון!$B$9/12)^12-1)/(מחשבון!$B$9/12)))))</f>
        <v>536771.169166258</v>
      </c>
    </row>
    <row r="24" customFormat="false" ht="15" hidden="false" customHeight="true" outlineLevel="0" collapsed="false">
      <c r="A24" s="48" t="n">
        <v>20</v>
      </c>
      <c r="B24" s="49" t="n">
        <f aca="false">IF(20&gt;מחשבון!$B$8,0,F23)</f>
        <v>536771.169166258</v>
      </c>
      <c r="C24" s="49" t="n">
        <f aca="false">IF(20&gt;מחשבון!$B$8,0,IF(F24=0,E24+ (B24*(מחשבון!$B$9)),מחשבון!$B$31*12))</f>
        <v>103139.453172034</v>
      </c>
      <c r="D24" s="49" t="n">
        <f aca="false">MAX(0,C24-E24)</f>
        <v>24039.8764213459</v>
      </c>
      <c r="E24" s="49" t="n">
        <f aca="false">B24-F24</f>
        <v>79099.5767506883</v>
      </c>
      <c r="F24" s="49" t="n">
        <f aca="false">IF(20&gt;מחשבון!$B$8,0,IF(מחשבון!$B$9=0,MAX(0,B24-מחשבון!$B$31*12),MAX(0,B24*(1+מחשבון!$B$9/12)^12-מחשבון!$B$31*(((1+מחשבון!$B$9/12)^12-1)/(מחשבון!$B$9/12)))))</f>
        <v>457671.59241557</v>
      </c>
    </row>
    <row r="25" customFormat="false" ht="15" hidden="false" customHeight="true" outlineLevel="0" collapsed="false">
      <c r="A25" s="46" t="n">
        <v>21</v>
      </c>
      <c r="B25" s="47" t="n">
        <f aca="false">IF(21&gt;מחשבון!$B$8,0,F24)</f>
        <v>457671.59241557</v>
      </c>
      <c r="C25" s="47" t="n">
        <f aca="false">IF(21&gt;מחשבון!$B$8,0,IF(F25=0,E25+ (B25*(מחשבון!$B$9)),מחשבון!$B$31*12))</f>
        <v>103139.453172034</v>
      </c>
      <c r="D25" s="47" t="n">
        <f aca="false">MAX(0,C25-E25)</f>
        <v>20158.4437742743</v>
      </c>
      <c r="E25" s="47" t="n">
        <f aca="false">B25-F25</f>
        <v>82981.0093977599</v>
      </c>
      <c r="F25" s="47" t="n">
        <f aca="false">IF(21&gt;מחשבון!$B$8,0,IF(מחשבון!$B$9=0,MAX(0,B25-מחשבון!$B$31*12),MAX(0,B25*(1+מחשבון!$B$9/12)^12-מחשבון!$B$31*(((1+מחשבון!$B$9/12)^12-1)/(מחשבון!$B$9/12)))))</f>
        <v>374690.58301781</v>
      </c>
    </row>
    <row r="26" customFormat="false" ht="15" hidden="false" customHeight="true" outlineLevel="0" collapsed="false">
      <c r="A26" s="48" t="n">
        <v>22</v>
      </c>
      <c r="B26" s="49" t="n">
        <f aca="false">IF(22&gt;מחשבון!$B$8,0,F25)</f>
        <v>374690.58301781</v>
      </c>
      <c r="C26" s="49" t="n">
        <f aca="false">IF(22&gt;מחשבון!$B$8,0,IF(F26=0,E26+ (B26*(מחשבון!$B$9)),מחשבון!$B$31*12))</f>
        <v>103139.453172034</v>
      </c>
      <c r="D26" s="49" t="n">
        <f aca="false">MAX(0,C26-E26)</f>
        <v>16086.5484216785</v>
      </c>
      <c r="E26" s="49" t="n">
        <f aca="false">B26-F26</f>
        <v>87052.9047503556</v>
      </c>
      <c r="F26" s="49" t="n">
        <f aca="false">IF(22&gt;מחשבון!$B$8,0,IF(מחשבון!$B$9=0,MAX(0,B26-מחשבון!$B$31*12),MAX(0,B26*(1+מחשבון!$B$9/12)^12-מחשבון!$B$31*(((1+מחשבון!$B$9/12)^12-1)/(מחשבון!$B$9/12)))))</f>
        <v>287637.678267455</v>
      </c>
    </row>
    <row r="27" customFormat="false" ht="15" hidden="false" customHeight="true" outlineLevel="0" collapsed="false">
      <c r="A27" s="46" t="n">
        <v>23</v>
      </c>
      <c r="B27" s="47" t="n">
        <f aca="false">IF(23&gt;מחשבון!$B$8,0,F26)</f>
        <v>287637.678267455</v>
      </c>
      <c r="C27" s="47" t="n">
        <f aca="false">IF(23&gt;מחשבון!$B$8,0,IF(F27=0,E27+ (B27*(מחשבון!$B$9)),מחשבון!$B$31*12))</f>
        <v>103139.453172034</v>
      </c>
      <c r="D27" s="47" t="n">
        <f aca="false">MAX(0,C27-E27)</f>
        <v>11814.8443190709</v>
      </c>
      <c r="E27" s="47" t="n">
        <f aca="false">B27-F27</f>
        <v>91324.6088529632</v>
      </c>
      <c r="F27" s="47" t="n">
        <f aca="false">IF(23&gt;מחשבון!$B$8,0,IF(מחשבון!$B$9=0,MAX(0,B27-מחשבון!$B$31*12),MAX(0,B27*(1+מחשבון!$B$9/12)^12-מחשבון!$B$31*(((1+מחשבון!$B$9/12)^12-1)/(מחשבון!$B$9/12)))))</f>
        <v>196313.069414492</v>
      </c>
    </row>
    <row r="28" customFormat="false" ht="15" hidden="false" customHeight="true" outlineLevel="0" collapsed="false">
      <c r="A28" s="48" t="n">
        <v>24</v>
      </c>
      <c r="B28" s="49" t="n">
        <f aca="false">IF(24&gt;מחשבון!$B$8,0,F27)</f>
        <v>196313.069414492</v>
      </c>
      <c r="C28" s="49" t="n">
        <f aca="false">IF(24&gt;מחשבון!$B$8,0,IF(F28=0,E28+ (B28*(מחשבון!$B$9)),מחשבון!$B$31*12))</f>
        <v>103139.453172034</v>
      </c>
      <c r="D28" s="49" t="n">
        <f aca="false">MAX(0,C28-E28)</f>
        <v>7333.52680962104</v>
      </c>
      <c r="E28" s="49" t="n">
        <f aca="false">B28-F28</f>
        <v>95805.9263624131</v>
      </c>
      <c r="F28" s="49" t="n">
        <f aca="false">IF(24&gt;מחשבון!$B$8,0,IF(מחשבון!$B$9=0,MAX(0,B28-מחשבון!$B$31*12),MAX(0,B28*(1+מחשבון!$B$9/12)^12-מחשבון!$B$31*(((1+מחשבון!$B$9/12)^12-1)/(מחשבון!$B$9/12)))))</f>
        <v>100507.143052078</v>
      </c>
    </row>
    <row r="29" customFormat="false" ht="15" hidden="false" customHeight="true" outlineLevel="0" collapsed="false">
      <c r="A29" s="46" t="n">
        <v>25</v>
      </c>
      <c r="B29" s="47" t="n">
        <f aca="false">IF(25&gt;מחשבון!$B$8,0,F28)</f>
        <v>100507.143052078</v>
      </c>
      <c r="C29" s="47" t="n">
        <f aca="false">IF(25&gt;מחשבון!$B$8,0,IF(F29=0,E29+ (B29*(מחשבון!$B$9)),מחשבון!$B$31*12))</f>
        <v>105331.485918578</v>
      </c>
      <c r="D29" s="47" t="n">
        <f aca="false">MAX(0,C29-E29)</f>
        <v>4824.34286649976</v>
      </c>
      <c r="E29" s="47" t="n">
        <f aca="false">B29-F29</f>
        <v>100507.143052078</v>
      </c>
      <c r="F29" s="47" t="n">
        <f aca="false">IF(25&gt;מחשבון!$B$8,0,IF(מחשבון!$B$9=0,MAX(0,B29-מחשבון!$B$31*12),MAX(0,B29*(1+מחשבון!$B$9/12)^12-מחשבון!$B$31*(((1+מחשבון!$B$9/12)^12-1)/(מחשבון!$B$9/12)))))</f>
        <v>0</v>
      </c>
    </row>
    <row r="30" customFormat="false" ht="15" hidden="false" customHeight="true" outlineLevel="0" collapsed="false">
      <c r="A30" s="48" t="n">
        <v>26</v>
      </c>
      <c r="B30" s="49" t="n">
        <f aca="false">IF(26&gt;מחשבון!$B$8,0,F29)</f>
        <v>0</v>
      </c>
      <c r="C30" s="49" t="n">
        <f aca="false">IF(26&gt;מחשבון!$B$8,0,IF(F30=0,E30+ (B30*(מחשבון!$B$9)),מחשבון!$B$31*12))</f>
        <v>0</v>
      </c>
      <c r="D30" s="49" t="n">
        <f aca="false">MAX(0,C30-E30)</f>
        <v>0</v>
      </c>
      <c r="E30" s="49" t="n">
        <f aca="false">B30-F30</f>
        <v>0</v>
      </c>
      <c r="F30" s="49" t="n">
        <f aca="false">IF(26&gt;מחשבון!$B$8,0,IF(מחשבון!$B$9=0,MAX(0,B30-מחשבון!$B$31*12),MAX(0,B30*(1+מחשבון!$B$9/12)^12-מחשבון!$B$31*(((1+מחשבון!$B$9/12)^12-1)/(מחשבון!$B$9/12)))))</f>
        <v>0</v>
      </c>
    </row>
    <row r="31" customFormat="false" ht="15" hidden="false" customHeight="true" outlineLevel="0" collapsed="false">
      <c r="A31" s="46" t="n">
        <v>27</v>
      </c>
      <c r="B31" s="47" t="n">
        <f aca="false">IF(27&gt;מחשבון!$B$8,0,F30)</f>
        <v>0</v>
      </c>
      <c r="C31" s="47" t="n">
        <f aca="false">IF(27&gt;מחשבון!$B$8,0,IF(F31=0,E31+ (B31*(מחשבון!$B$9)),מחשבון!$B$31*12))</f>
        <v>0</v>
      </c>
      <c r="D31" s="47" t="n">
        <f aca="false">MAX(0,C31-E31)</f>
        <v>0</v>
      </c>
      <c r="E31" s="47" t="n">
        <f aca="false">B31-F31</f>
        <v>0</v>
      </c>
      <c r="F31" s="47" t="n">
        <f aca="false">IF(27&gt;מחשבון!$B$8,0,IF(מחשבון!$B$9=0,MAX(0,B31-מחשבון!$B$31*12),MAX(0,B31*(1+מחשבון!$B$9/12)^12-מחשבון!$B$31*(((1+מחשבון!$B$9/12)^12-1)/(מחשבון!$B$9/12)))))</f>
        <v>0</v>
      </c>
    </row>
    <row r="32" customFormat="false" ht="15" hidden="false" customHeight="true" outlineLevel="0" collapsed="false">
      <c r="A32" s="48" t="n">
        <v>28</v>
      </c>
      <c r="B32" s="49" t="n">
        <f aca="false">IF(28&gt;מחשבון!$B$8,0,F31)</f>
        <v>0</v>
      </c>
      <c r="C32" s="49" t="n">
        <f aca="false">IF(28&gt;מחשבון!$B$8,0,IF(F32=0,E32+ (B32*(מחשבון!$B$9)),מחשבון!$B$31*12))</f>
        <v>0</v>
      </c>
      <c r="D32" s="49" t="n">
        <f aca="false">MAX(0,C32-E32)</f>
        <v>0</v>
      </c>
      <c r="E32" s="49" t="n">
        <f aca="false">B32-F32</f>
        <v>0</v>
      </c>
      <c r="F32" s="49" t="n">
        <f aca="false">IF(28&gt;מחשבון!$B$8,0,IF(מחשבון!$B$9=0,MAX(0,B32-מחשבון!$B$31*12),MAX(0,B32*(1+מחשבון!$B$9/12)^12-מחשבון!$B$31*(((1+מחשבון!$B$9/12)^12-1)/(מחשבון!$B$9/12)))))</f>
        <v>0</v>
      </c>
    </row>
    <row r="33" customFormat="false" ht="15" hidden="false" customHeight="true" outlineLevel="0" collapsed="false">
      <c r="A33" s="46" t="n">
        <v>29</v>
      </c>
      <c r="B33" s="47" t="n">
        <f aca="false">IF(29&gt;מחשבון!$B$8,0,F32)</f>
        <v>0</v>
      </c>
      <c r="C33" s="47" t="n">
        <f aca="false">IF(29&gt;מחשבון!$B$8,0,IF(F33=0,E33+ (B33*(מחשבון!$B$9)),מחשבון!$B$31*12))</f>
        <v>0</v>
      </c>
      <c r="D33" s="47" t="n">
        <f aca="false">MAX(0,C33-E33)</f>
        <v>0</v>
      </c>
      <c r="E33" s="47" t="n">
        <f aca="false">B33-F33</f>
        <v>0</v>
      </c>
      <c r="F33" s="47" t="n">
        <f aca="false">IF(29&gt;מחשבון!$B$8,0,IF(מחשבון!$B$9=0,MAX(0,B33-מחשבון!$B$31*12),MAX(0,B33*(1+מחשבון!$B$9/12)^12-מחשבון!$B$31*(((1+מחשבון!$B$9/12)^12-1)/(מחשבון!$B$9/12)))))</f>
        <v>0</v>
      </c>
    </row>
    <row r="34" customFormat="false" ht="15" hidden="false" customHeight="true" outlineLevel="0" collapsed="false">
      <c r="A34" s="48" t="n">
        <v>30</v>
      </c>
      <c r="B34" s="49" t="n">
        <f aca="false">IF(30&gt;מחשבון!$B$8,0,F33)</f>
        <v>0</v>
      </c>
      <c r="C34" s="49" t="n">
        <f aca="false">IF(30&gt;מחשבון!$B$8,0,IF(F34=0,E34+ (B34*(מחשבון!$B$9)),מחשבון!$B$31*12))</f>
        <v>0</v>
      </c>
      <c r="D34" s="49" t="n">
        <f aca="false">MAX(0,C34-E34)</f>
        <v>0</v>
      </c>
      <c r="E34" s="49" t="n">
        <f aca="false">B34-F34</f>
        <v>0</v>
      </c>
      <c r="F34" s="49" t="n">
        <f aca="false">IF(30&gt;מחשבון!$B$8,0,IF(מחשבון!$B$9=0,MAX(0,B34-מחשבון!$B$31*12),MAX(0,B34*(1+מחשבון!$B$9/12)^12-מחשבון!$B$31*(((1+מחשבון!$B$9/12)^12-1)/(מחשבון!$B$9/12)))))</f>
        <v>0</v>
      </c>
    </row>
    <row r="35" customFormat="false" ht="15" hidden="false" customHeight="true" outlineLevel="0" collapsed="false">
      <c r="A35" s="50" t="s">
        <v>105</v>
      </c>
      <c r="C35" s="51" t="n">
        <f aca="false">SUM(C5:C34)</f>
        <v>2580678.3620474</v>
      </c>
      <c r="D35" s="51" t="n">
        <f aca="false">SUM(D5:D34)</f>
        <v>1080678.3620474</v>
      </c>
      <c r="E35" s="51" t="n">
        <f aca="false">SUM(E5:E34)</f>
        <v>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45" t="s">
        <v>106</v>
      </c>
    </row>
    <row r="2" customFormat="false" ht="15" hidden="false" customHeight="true" outlineLevel="0" collapsed="false">
      <c r="A2" s="3" t="s">
        <v>107</v>
      </c>
    </row>
    <row r="4" customFormat="false" ht="15" hidden="false" customHeight="true" outlineLevel="0" collapsed="false">
      <c r="A4" s="52" t="s">
        <v>108</v>
      </c>
      <c r="B4" s="5"/>
    </row>
    <row r="5" customFormat="false" ht="15" hidden="false" customHeight="true" outlineLevel="0" collapsed="false">
      <c r="A5" s="6" t="s">
        <v>109</v>
      </c>
      <c r="B5" s="12" t="n">
        <f aca="false">נתונים!B23</f>
        <v>0.03</v>
      </c>
    </row>
    <row r="6" customFormat="false" ht="15" hidden="false" customHeight="true" outlineLevel="0" collapsed="false">
      <c r="A6" s="6" t="s">
        <v>110</v>
      </c>
      <c r="B6" s="12" t="n">
        <f aca="false">נתונים!B24</f>
        <v>0.035</v>
      </c>
    </row>
    <row r="7" customFormat="false" ht="15" hidden="false" customHeight="true" outlineLevel="0" collapsed="false">
      <c r="A7" s="6" t="s">
        <v>111</v>
      </c>
      <c r="B7" s="10" t="n">
        <v>10</v>
      </c>
    </row>
    <row r="8" customFormat="false" ht="15" hidden="false" customHeight="true" outlineLevel="0" collapsed="false">
      <c r="A8" s="6" t="s">
        <v>112</v>
      </c>
      <c r="B8" s="12" t="n">
        <v>0.02</v>
      </c>
    </row>
    <row r="9" customFormat="false" ht="15" hidden="false" customHeight="true" outlineLevel="0" collapsed="false">
      <c r="A9" s="6" t="s">
        <v>113</v>
      </c>
      <c r="B9" s="8" t="s">
        <v>114</v>
      </c>
    </row>
    <row r="11" customFormat="false" ht="15" hidden="false" customHeight="true" outlineLevel="0" collapsed="false">
      <c r="A11" s="52" t="s">
        <v>115</v>
      </c>
      <c r="B11" s="5"/>
      <c r="C11" s="5"/>
      <c r="D11" s="5"/>
      <c r="E11" s="5"/>
      <c r="F11" s="5"/>
    </row>
    <row r="12" customFormat="false" ht="15" hidden="false" customHeight="true" outlineLevel="0" collapsed="false">
      <c r="A12" s="23" t="s">
        <v>99</v>
      </c>
      <c r="B12" s="23" t="s">
        <v>116</v>
      </c>
      <c r="C12" s="23" t="s">
        <v>117</v>
      </c>
      <c r="D12" s="23" t="s">
        <v>118</v>
      </c>
      <c r="E12" s="23" t="s">
        <v>119</v>
      </c>
      <c r="F12" s="23" t="s">
        <v>120</v>
      </c>
    </row>
    <row r="13" customFormat="false" ht="15" hidden="false" customHeight="true" outlineLevel="0" collapsed="false">
      <c r="A13" s="46" t="n">
        <v>1</v>
      </c>
      <c r="B13" s="47" t="n">
        <f aca="false">מחשבון!$B$5*(1+$B$6)^1</f>
        <v>2070000</v>
      </c>
      <c r="C13" s="47" t="n">
        <f aca="false">מחשבון!$B$37*(1+$B$5)^(1-1)</f>
        <v>72000</v>
      </c>
      <c r="D13" s="47" t="n">
        <f aca="false">C13-IF(1&gt;מחשבון!$B$8,0,מחשבון!$B$31*12)</f>
        <v>-31139.4531720341</v>
      </c>
      <c r="E13" s="47" t="n">
        <f aca="false">INDEX('לוח סילוקין'!$F$5:$F$34,1)</f>
        <v>1468166.26188183</v>
      </c>
      <c r="F13" s="47" t="n">
        <f aca="false">B13-E13</f>
        <v>601833.738118168</v>
      </c>
    </row>
    <row r="14" customFormat="false" ht="15" hidden="false" customHeight="true" outlineLevel="0" collapsed="false">
      <c r="A14" s="48" t="n">
        <v>2</v>
      </c>
      <c r="B14" s="49" t="n">
        <f aca="false">מחשבון!$B$5*(1+$B$6)^2</f>
        <v>2142450</v>
      </c>
      <c r="C14" s="49" t="n">
        <f aca="false">מחשבון!$B$37*(1+$B$5)^(2-1)</f>
        <v>74160</v>
      </c>
      <c r="D14" s="49" t="n">
        <f aca="false">C14-IF(2&gt;מחשבון!$B$8,0,מחשבון!$B$31*12)</f>
        <v>-28979.4531720341</v>
      </c>
      <c r="E14" s="49" t="n">
        <f aca="false">INDEX('לוח סילוקין'!$F$5:$F$34,2)</f>
        <v>1434770.4356276</v>
      </c>
      <c r="F14" s="49" t="n">
        <f aca="false">B14-E14</f>
        <v>707679.564372404</v>
      </c>
    </row>
    <row r="15" customFormat="false" ht="15" hidden="false" customHeight="true" outlineLevel="0" collapsed="false">
      <c r="A15" s="46" t="n">
        <v>3</v>
      </c>
      <c r="B15" s="47" t="n">
        <f aca="false">מחשבון!$B$5*(1+$B$6)^3</f>
        <v>2217435.75</v>
      </c>
      <c r="C15" s="47" t="n">
        <f aca="false">מחשבון!$B$37*(1+$B$5)^(3-1)</f>
        <v>76384.8</v>
      </c>
      <c r="D15" s="47" t="n">
        <f aca="false">C15-IF(3&gt;מחשבון!$B$8,0,מחשבון!$B$31*12)</f>
        <v>-26754.6531720341</v>
      </c>
      <c r="E15" s="47" t="n">
        <f aca="false">INDEX('לוח סילוקין'!$F$5:$F$34,3)</f>
        <v>1399735.86924827</v>
      </c>
      <c r="F15" s="47" t="n">
        <f aca="false">B15-E15</f>
        <v>817699.880751731</v>
      </c>
    </row>
    <row r="16" customFormat="false" ht="15" hidden="false" customHeight="true" outlineLevel="0" collapsed="false">
      <c r="A16" s="48" t="n">
        <v>4</v>
      </c>
      <c r="B16" s="49" t="n">
        <f aca="false">מחשבון!$B$5*(1+$B$6)^4</f>
        <v>2295046.00125</v>
      </c>
      <c r="C16" s="49" t="n">
        <f aca="false">מחשבון!$B$37*(1+$B$5)^(4-1)</f>
        <v>78676.344</v>
      </c>
      <c r="D16" s="49" t="n">
        <f aca="false">C16-IF(4&gt;מחשבון!$B$8,0,מחשבון!$B$31*12)</f>
        <v>-24463.1091720341</v>
      </c>
      <c r="E16" s="49" t="n">
        <f aca="false">INDEX('לוח סילוקין'!$F$5:$F$34,4)</f>
        <v>1362982.14942582</v>
      </c>
      <c r="F16" s="49" t="n">
        <f aca="false">B16-E16</f>
        <v>932063.851824184</v>
      </c>
    </row>
    <row r="17" customFormat="false" ht="15" hidden="false" customHeight="true" outlineLevel="0" collapsed="false">
      <c r="A17" s="46" t="n">
        <v>5</v>
      </c>
      <c r="B17" s="47" t="n">
        <f aca="false">מחשבון!$B$5*(1+$B$6)^5</f>
        <v>2375372.61129375</v>
      </c>
      <c r="C17" s="47" t="n">
        <f aca="false">מחשבון!$B$37*(1+$B$5)^(5-1)</f>
        <v>81036.63432</v>
      </c>
      <c r="D17" s="47" t="n">
        <f aca="false">C17-IF(5&gt;מחשבון!$B$8,0,מחשבון!$B$31*12)</f>
        <v>-22102.8188520341</v>
      </c>
      <c r="E17" s="47" t="n">
        <f aca="false">INDEX('לוח סילוקין'!$F$5:$F$34,5)</f>
        <v>1324424.916944</v>
      </c>
      <c r="F17" s="47" t="n">
        <f aca="false">B17-E17</f>
        <v>1050947.69434975</v>
      </c>
    </row>
    <row r="18" customFormat="false" ht="15" hidden="false" customHeight="true" outlineLevel="0" collapsed="false">
      <c r="A18" s="48" t="n">
        <v>6</v>
      </c>
      <c r="B18" s="49" t="n">
        <f aca="false">מחשבון!$B$5*(1+$B$6)^6</f>
        <v>2458510.65268903</v>
      </c>
      <c r="C18" s="49" t="n">
        <f aca="false">מחשבון!$B$37*(1+$B$5)^(6-1)</f>
        <v>83467.7333496</v>
      </c>
      <c r="D18" s="49" t="n">
        <f aca="false">C18-IF(6&gt;מחשבון!$B$8,0,מחשבון!$B$31*12)</f>
        <v>-19671.7198224341</v>
      </c>
      <c r="E18" s="49" t="n">
        <f aca="false">INDEX('לוח סילוקין'!$F$5:$F$34,6)</f>
        <v>1283975.67306233</v>
      </c>
      <c r="F18" s="49" t="n">
        <f aca="false">B18-E18</f>
        <v>1174534.9796267</v>
      </c>
    </row>
    <row r="19" customFormat="false" ht="15" hidden="false" customHeight="true" outlineLevel="0" collapsed="false">
      <c r="A19" s="46" t="n">
        <v>7</v>
      </c>
      <c r="B19" s="47" t="n">
        <f aca="false">מחשבון!$B$5*(1+$B$6)^7</f>
        <v>2544558.52553315</v>
      </c>
      <c r="C19" s="47" t="n">
        <f aca="false">מחשבון!$B$37*(1+$B$5)^(7-1)</f>
        <v>85971.765350088</v>
      </c>
      <c r="D19" s="47" t="n">
        <f aca="false">C19-IF(7&gt;מחשבון!$B$8,0,מחשבון!$B$31*12)</f>
        <v>-17167.6878219461</v>
      </c>
      <c r="E19" s="47" t="n">
        <f aca="false">INDEX('לוח סילוקין'!$F$5:$F$34,7)</f>
        <v>1241541.57638877</v>
      </c>
      <c r="F19" s="47" t="n">
        <f aca="false">B19-E19</f>
        <v>1303016.94914438</v>
      </c>
    </row>
    <row r="20" customFormat="false" ht="15" hidden="false" customHeight="true" outlineLevel="0" collapsed="false">
      <c r="A20" s="48" t="n">
        <v>8</v>
      </c>
      <c r="B20" s="49" t="n">
        <f aca="false">מחשבון!$B$5*(1+$B$6)^8</f>
        <v>2633618.07392681</v>
      </c>
      <c r="C20" s="49" t="n">
        <f aca="false">מחשבון!$B$37*(1+$B$5)^(8-1)</f>
        <v>88550.9183105907</v>
      </c>
      <c r="D20" s="49" t="n">
        <f aca="false">C20-IF(8&gt;מחשבון!$B$8,0,מחשבון!$B$31*12)</f>
        <v>-14588.5348614435</v>
      </c>
      <c r="E20" s="49" t="n">
        <f aca="false">INDEX('לוח סילוקין'!$F$5:$F$34,8)</f>
        <v>1197025.22978488</v>
      </c>
      <c r="F20" s="49" t="n">
        <f aca="false">B20-E20</f>
        <v>1436592.84414193</v>
      </c>
    </row>
    <row r="21" customFormat="false" ht="15" hidden="false" customHeight="true" outlineLevel="0" collapsed="false">
      <c r="A21" s="46" t="n">
        <v>9</v>
      </c>
      <c r="B21" s="47" t="n">
        <f aca="false">מחשבון!$B$5*(1+$B$6)^9</f>
        <v>2725794.70651424</v>
      </c>
      <c r="C21" s="47" t="n">
        <f aca="false">מחשבון!$B$37*(1+$B$5)^(9-1)</f>
        <v>91207.4458599084</v>
      </c>
      <c r="D21" s="47" t="n">
        <f aca="false">C21-IF(9&gt;מחשבון!$B$8,0,מחשבון!$B$31*12)</f>
        <v>-11932.0073121257</v>
      </c>
      <c r="E21" s="47" t="n">
        <f aca="false">INDEX('לוח סילוקין'!$F$5:$F$34,9)</f>
        <v>1150324.45681444</v>
      </c>
      <c r="F21" s="47" t="n">
        <f aca="false">B21-E21</f>
        <v>1575470.2496998</v>
      </c>
    </row>
    <row r="22" customFormat="false" ht="15" hidden="false" customHeight="true" outlineLevel="0" collapsed="false">
      <c r="A22" s="48" t="n">
        <v>10</v>
      </c>
      <c r="B22" s="49" t="n">
        <f aca="false">מחשבון!$B$5*(1+$B$6)^10</f>
        <v>2821197.52124224</v>
      </c>
      <c r="C22" s="49" t="n">
        <f aca="false">מחשבון!$B$37*(1+$B$5)^(10-1)</f>
        <v>93943.6692357056</v>
      </c>
      <c r="D22" s="49" t="n">
        <f aca="false">C22-IF(10&gt;מחשבון!$B$8,0,מחשבון!$B$31*12)</f>
        <v>-9195.78393632849</v>
      </c>
      <c r="E22" s="49" t="n">
        <f aca="false">INDEX('לוח סילוקין'!$F$5:$F$34,10)</f>
        <v>1101332.06722231</v>
      </c>
      <c r="F22" s="49" t="n">
        <f aca="false">B22-E22</f>
        <v>1719865.45401993</v>
      </c>
    </row>
    <row r="23" customFormat="false" ht="15" hidden="false" customHeight="true" outlineLevel="0" collapsed="false">
      <c r="A23" s="46" t="n">
        <v>11</v>
      </c>
      <c r="B23" s="47" t="n">
        <f aca="false">מחשבון!$B$5*(1+$B$6)^11</f>
        <v>2919939.43448572</v>
      </c>
      <c r="C23" s="47" t="n">
        <f aca="false">מחשבון!$B$37*(1+$B$5)^(11-1)</f>
        <v>96761.9793127768</v>
      </c>
      <c r="D23" s="47" t="n">
        <f aca="false">C23-IF(11&gt;מחשבון!$B$8,0,מחשבון!$B$31*12)</f>
        <v>-6377.47385925731</v>
      </c>
      <c r="E23" s="47" t="n">
        <f aca="false">INDEX('לוח סילוקין'!$F$5:$F$34,11)</f>
        <v>1049935.61090527</v>
      </c>
      <c r="F23" s="47" t="n">
        <f aca="false">B23-E23</f>
        <v>1870003.82358045</v>
      </c>
    </row>
    <row r="24" customFormat="false" ht="15" hidden="false" customHeight="true" outlineLevel="0" collapsed="false">
      <c r="A24" s="48" t="n">
        <v>12</v>
      </c>
      <c r="B24" s="49" t="n">
        <f aca="false">מחשבון!$B$5*(1+$B$6)^12</f>
        <v>3022137.31469272</v>
      </c>
      <c r="C24" s="49" t="n">
        <f aca="false">מחשבון!$B$37*(1+$B$5)^(12-1)</f>
        <v>99664.8386921601</v>
      </c>
      <c r="D24" s="49" t="n">
        <f aca="false">C24-IF(12&gt;מחשבון!$B$8,0,מחשבון!$B$31*12)</f>
        <v>-3474.61447987401</v>
      </c>
      <c r="E24" s="49" t="n">
        <f aca="false">INDEX('לוח סילוקין'!$F$5:$F$34,12)</f>
        <v>996017.119810197</v>
      </c>
      <c r="F24" s="49" t="n">
        <f aca="false">B24-E24</f>
        <v>2026120.19488252</v>
      </c>
    </row>
    <row r="25" customFormat="false" ht="15" hidden="false" customHeight="true" outlineLevel="0" collapsed="false">
      <c r="A25" s="46" t="n">
        <v>13</v>
      </c>
      <c r="B25" s="47" t="n">
        <f aca="false">מחשבון!$B$5*(1+$B$6)^13</f>
        <v>3127912.12070697</v>
      </c>
      <c r="C25" s="47" t="n">
        <f aca="false">מחשבון!$B$37*(1+$B$5)^(13-1)</f>
        <v>102654.783852925</v>
      </c>
      <c r="D25" s="47" t="n">
        <f aca="false">C25-IF(13&gt;מחשבון!$B$8,0,מחשבון!$B$31*12)</f>
        <v>-484.669319109205</v>
      </c>
      <c r="E25" s="47" t="n">
        <f aca="false">INDEX('לוח סילוקין'!$F$5:$F$34,13)</f>
        <v>939452.837167126</v>
      </c>
      <c r="F25" s="47" t="n">
        <f aca="false">B25-E25</f>
        <v>2188459.28353984</v>
      </c>
    </row>
    <row r="26" customFormat="false" ht="15" hidden="false" customHeight="true" outlineLevel="0" collapsed="false">
      <c r="A26" s="48" t="n">
        <v>14</v>
      </c>
      <c r="B26" s="49" t="n">
        <f aca="false">מחשבון!$B$5*(1+$B$6)^14</f>
        <v>3237389.04493171</v>
      </c>
      <c r="C26" s="49" t="n">
        <f aca="false">מחשבון!$B$37*(1+$B$5)^(14-1)</f>
        <v>105734.427368513</v>
      </c>
      <c r="D26" s="49" t="n">
        <f aca="false">C26-IF(14&gt;מחשבון!$B$8,0,מחשבון!$B$31*12)</f>
        <v>2594.97419647855</v>
      </c>
      <c r="E26" s="49" t="n">
        <f aca="false">INDEX('לוח סילוקין'!$F$5:$F$34,14)</f>
        <v>880112.933435702</v>
      </c>
      <c r="F26" s="49" t="n">
        <f aca="false">B26-E26</f>
        <v>2357276.11149601</v>
      </c>
    </row>
    <row r="27" customFormat="false" ht="15" hidden="false" customHeight="true" outlineLevel="0" collapsed="false">
      <c r="A27" s="46" t="n">
        <v>15</v>
      </c>
      <c r="B27" s="47" t="n">
        <f aca="false">מחשבון!$B$5*(1+$B$6)^15</f>
        <v>3350697.66150432</v>
      </c>
      <c r="C27" s="47" t="n">
        <f aca="false">מחשבון!$B$37*(1+$B$5)^(15-1)</f>
        <v>108906.460189568</v>
      </c>
      <c r="D27" s="47" t="n">
        <f aca="false">C27-IF(15&gt;מחשבון!$B$8,0,מחשבון!$B$31*12)</f>
        <v>5767.00701753394</v>
      </c>
      <c r="E27" s="47" t="n">
        <f aca="false">INDEX('לוח סילוקין'!$F$5:$F$34,15)</f>
        <v>817861.208313082</v>
      </c>
      <c r="F27" s="47" t="n">
        <f aca="false">B27-E27</f>
        <v>2532836.45319124</v>
      </c>
    </row>
    <row r="28" customFormat="false" ht="15" hidden="false" customHeight="true" outlineLevel="0" collapsed="false">
      <c r="A28" s="48" t="n">
        <v>16</v>
      </c>
      <c r="B28" s="49" t="n">
        <f aca="false">מחשבון!$B$5*(1+$B$6)^16</f>
        <v>3467972.07965697</v>
      </c>
      <c r="C28" s="49" t="n">
        <f aca="false">מחשבון!$B$37*(1+$B$5)^(16-1)</f>
        <v>112173.653995255</v>
      </c>
      <c r="D28" s="49" t="n">
        <f aca="false">C28-IF(16&gt;מחשבון!$B$8,0,מחשבון!$B$31*12)</f>
        <v>9034.20082322096</v>
      </c>
      <c r="E28" s="49" t="n">
        <f aca="false">INDEX('לוח סילוקין'!$F$5:$F$34,16)</f>
        <v>752554.778119295</v>
      </c>
      <c r="F28" s="49" t="n">
        <f aca="false">B28-E28</f>
        <v>2715417.30153767</v>
      </c>
    </row>
    <row r="29" customFormat="false" ht="15" hidden="false" customHeight="true" outlineLevel="0" collapsed="false">
      <c r="A29" s="46" t="n">
        <v>17</v>
      </c>
      <c r="B29" s="47" t="n">
        <f aca="false">מחשבון!$B$5*(1+$B$6)^17</f>
        <v>3589351.10244496</v>
      </c>
      <c r="C29" s="47" t="n">
        <f aca="false">מחשבון!$B$37*(1+$B$5)^(17-1)</f>
        <v>115538.863615113</v>
      </c>
      <c r="D29" s="47" t="n">
        <f aca="false">C29-IF(17&gt;מחשבון!$B$8,0,מחשבון!$B$31*12)</f>
        <v>12399.4104430786</v>
      </c>
      <c r="E29" s="47" t="n">
        <f aca="false">INDEX('לוח סילוקין'!$F$5:$F$34,17)</f>
        <v>684043.747842541</v>
      </c>
      <c r="F29" s="47" t="n">
        <f aca="false">B29-E29</f>
        <v>2905307.35460242</v>
      </c>
    </row>
    <row r="30" customFormat="false" ht="15" hidden="false" customHeight="true" outlineLevel="0" collapsed="false">
      <c r="A30" s="48" t="n">
        <v>18</v>
      </c>
      <c r="B30" s="49" t="n">
        <f aca="false">מחשבון!$B$5*(1+$B$6)^18</f>
        <v>3714978.39103054</v>
      </c>
      <c r="C30" s="49" t="n">
        <f aca="false">מחשבון!$B$37*(1+$B$5)^(18-1)</f>
        <v>119005.029523566</v>
      </c>
      <c r="D30" s="49" t="n">
        <f aca="false">C30-IF(18&gt;מחשבון!$B$8,0,מחשבון!$B$31*12)</f>
        <v>15865.576351532</v>
      </c>
      <c r="E30" s="49" t="n">
        <f aca="false">INDEX('לוח סילוקין'!$F$5:$F$34,18)</f>
        <v>612170.867091684</v>
      </c>
      <c r="F30" s="49" t="n">
        <f aca="false">B30-E30</f>
        <v>3102807.52393885</v>
      </c>
    </row>
    <row r="31" customFormat="false" ht="15" hidden="false" customHeight="true" outlineLevel="0" collapsed="false">
      <c r="A31" s="46" t="n">
        <v>19</v>
      </c>
      <c r="B31" s="47" t="n">
        <f aca="false">מחשבון!$B$5*(1+$B$6)^19</f>
        <v>3845002.63471661</v>
      </c>
      <c r="C31" s="47" t="n">
        <f aca="false">מחשבון!$B$37*(1+$B$5)^(19-1)</f>
        <v>122575.180409273</v>
      </c>
      <c r="D31" s="47" t="n">
        <f aca="false">C31-IF(19&gt;מחשבון!$B$8,0,מחשבון!$B$31*12)</f>
        <v>19435.727237239</v>
      </c>
      <c r="E31" s="47" t="n">
        <f aca="false">INDEX('לוח סילוקין'!$F$5:$F$34,19)</f>
        <v>536771.169166258</v>
      </c>
      <c r="F31" s="47" t="n">
        <f aca="false">B31-E31</f>
        <v>3308231.46555035</v>
      </c>
    </row>
    <row r="32" customFormat="false" ht="15" hidden="false" customHeight="true" outlineLevel="0" collapsed="false">
      <c r="A32" s="48" t="n">
        <v>20</v>
      </c>
      <c r="B32" s="49" t="n">
        <f aca="false">מחשבון!$B$5*(1+$B$6)^20</f>
        <v>3979577.72693169</v>
      </c>
      <c r="C32" s="49" t="n">
        <f aca="false">מחשבון!$B$37*(1+$B$5)^(20-1)</f>
        <v>126252.435821551</v>
      </c>
      <c r="D32" s="49" t="n">
        <f aca="false">C32-IF(20&gt;מחשבון!$B$8,0,מחשבון!$B$31*12)</f>
        <v>23112.9826495172</v>
      </c>
      <c r="E32" s="49" t="n">
        <f aca="false">INDEX('לוח סילוקין'!$F$5:$F$34,20)</f>
        <v>457671.59241557</v>
      </c>
      <c r="F32" s="49" t="n">
        <f aca="false">B32-E32</f>
        <v>3521906.13451612</v>
      </c>
    </row>
    <row r="33" customFormat="false" ht="15" hidden="false" customHeight="true" outlineLevel="0" collapsed="false">
      <c r="A33" s="46" t="n">
        <v>21</v>
      </c>
      <c r="B33" s="47" t="n">
        <f aca="false">מחשבון!$B$5*(1+$B$6)^21</f>
        <v>4118862.94737429</v>
      </c>
      <c r="C33" s="47" t="n">
        <f aca="false">מחשבון!$B$37*(1+$B$5)^(21-1)</f>
        <v>130040.008896198</v>
      </c>
      <c r="D33" s="47" t="n">
        <f aca="false">C33-IF(21&gt;מחשבון!$B$8,0,מחשבון!$B$31*12)</f>
        <v>26900.5557241637</v>
      </c>
      <c r="E33" s="47" t="n">
        <f aca="false">INDEX('לוח סילוקין'!$F$5:$F$34,21)</f>
        <v>374690.58301781</v>
      </c>
      <c r="F33" s="47" t="n">
        <f aca="false">B33-E33</f>
        <v>3744172.36435648</v>
      </c>
    </row>
    <row r="34" customFormat="false" ht="15" hidden="false" customHeight="true" outlineLevel="0" collapsed="false">
      <c r="A34" s="48" t="n">
        <v>22</v>
      </c>
      <c r="B34" s="49" t="n">
        <f aca="false">מחשבון!$B$5*(1+$B$6)^22</f>
        <v>4263023.15053239</v>
      </c>
      <c r="C34" s="49" t="n">
        <f aca="false">מחשבון!$B$37*(1+$B$5)^(22-1)</f>
        <v>133941.209163084</v>
      </c>
      <c r="D34" s="49" t="n">
        <f aca="false">C34-IF(22&gt;מחשבון!$B$8,0,מחשבון!$B$31*12)</f>
        <v>30801.7559910497</v>
      </c>
      <c r="E34" s="49" t="n">
        <f aca="false">INDEX('לוח סילוקין'!$F$5:$F$34,22)</f>
        <v>287637.678267455</v>
      </c>
      <c r="F34" s="49" t="n">
        <f aca="false">B34-E34</f>
        <v>3975385.47226494</v>
      </c>
    </row>
    <row r="35" customFormat="false" ht="15" hidden="false" customHeight="true" outlineLevel="0" collapsed="false">
      <c r="A35" s="46" t="n">
        <v>23</v>
      </c>
      <c r="B35" s="47" t="n">
        <f aca="false">מחשבון!$B$5*(1+$B$6)^23</f>
        <v>4412228.96080103</v>
      </c>
      <c r="C35" s="47" t="n">
        <f aca="false">מחשבון!$B$37*(1+$B$5)^(23-1)</f>
        <v>137959.445437976</v>
      </c>
      <c r="D35" s="47" t="n">
        <f aca="false">C35-IF(23&gt;מחשבון!$B$8,0,מחשבון!$B$31*12)</f>
        <v>34819.9922659422</v>
      </c>
      <c r="E35" s="47" t="n">
        <f aca="false">INDEX('לוח סילוקין'!$F$5:$F$34,23)</f>
        <v>196313.069414492</v>
      </c>
      <c r="F35" s="47" t="n">
        <f aca="false">B35-E35</f>
        <v>4215915.89138654</v>
      </c>
    </row>
    <row r="36" customFormat="false" ht="15" hidden="false" customHeight="true" outlineLevel="0" collapsed="false">
      <c r="A36" s="48" t="n">
        <v>24</v>
      </c>
      <c r="B36" s="49" t="n">
        <f aca="false">מחשבון!$B$5*(1+$B$6)^24</f>
        <v>4566656.97442906</v>
      </c>
      <c r="C36" s="49" t="n">
        <f aca="false">מחשבון!$B$37*(1+$B$5)^(24-1)</f>
        <v>142098.228801116</v>
      </c>
      <c r="D36" s="49" t="n">
        <f aca="false">C36-IF(24&gt;מחשבון!$B$8,0,מחשבון!$B$31*12)</f>
        <v>38958.7756290815</v>
      </c>
      <c r="E36" s="49" t="n">
        <f aca="false">INDEX('לוח סילוקין'!$F$5:$F$34,24)</f>
        <v>100507.143052078</v>
      </c>
      <c r="F36" s="49" t="n">
        <f aca="false">B36-E36</f>
        <v>4466149.83137699</v>
      </c>
    </row>
    <row r="37" customFormat="false" ht="15" hidden="false" customHeight="true" outlineLevel="0" collapsed="false">
      <c r="A37" s="46" t="n">
        <v>25</v>
      </c>
      <c r="B37" s="47" t="n">
        <f aca="false">מחשבון!$B$5*(1+$B$6)^25</f>
        <v>4726489.96853408</v>
      </c>
      <c r="C37" s="47" t="n">
        <f aca="false">מחשבון!$B$37*(1+$B$5)^(25-1)</f>
        <v>146361.175665149</v>
      </c>
      <c r="D37" s="47" t="n">
        <f aca="false">C37-IF(25&gt;מחשבון!$B$8,0,מחשבון!$B$31*12)</f>
        <v>43221.722493115</v>
      </c>
      <c r="E37" s="47" t="n">
        <f aca="false">INDEX('לוח סילוקין'!$F$5:$F$34,25)</f>
        <v>0</v>
      </c>
      <c r="F37" s="47" t="n">
        <f aca="false">B37-E37</f>
        <v>4726489.96853408</v>
      </c>
    </row>
    <row r="38" customFormat="false" ht="15" hidden="false" customHeight="true" outlineLevel="0" collapsed="false">
      <c r="A38" s="48" t="n">
        <v>26</v>
      </c>
      <c r="B38" s="49" t="n">
        <f aca="false">מחשבון!$B$5*(1+$B$6)^26</f>
        <v>4891917.11743277</v>
      </c>
      <c r="C38" s="49" t="n">
        <f aca="false">מחשבון!$B$37*(1+$B$5)^(26-1)</f>
        <v>150752.010935104</v>
      </c>
      <c r="D38" s="49" t="n">
        <f aca="false">C38-IF(26&gt;מחשבון!$B$8,0,מחשבון!$B$31*12)</f>
        <v>150752.010935104</v>
      </c>
      <c r="E38" s="49" t="n">
        <f aca="false">INDEX('לוח סילוקין'!$F$5:$F$34,26)</f>
        <v>0</v>
      </c>
      <c r="F38" s="49" t="n">
        <f aca="false">B38-E38</f>
        <v>4891917.11743277</v>
      </c>
    </row>
    <row r="39" customFormat="false" ht="15" hidden="false" customHeight="true" outlineLevel="0" collapsed="false">
      <c r="A39" s="46" t="n">
        <v>27</v>
      </c>
      <c r="B39" s="47" t="n">
        <f aca="false">מחשבון!$B$5*(1+$B$6)^27</f>
        <v>5063134.21654292</v>
      </c>
      <c r="C39" s="47" t="n">
        <f aca="false">מחשבון!$B$37*(1+$B$5)^(27-1)</f>
        <v>155274.571263157</v>
      </c>
      <c r="D39" s="47" t="n">
        <f aca="false">C39-IF(27&gt;מחשבון!$B$8,0,מחשבון!$B$31*12)</f>
        <v>155274.571263157</v>
      </c>
      <c r="E39" s="47" t="n">
        <f aca="false">INDEX('לוח סילוקין'!$F$5:$F$34,27)</f>
        <v>0</v>
      </c>
      <c r="F39" s="47" t="n">
        <f aca="false">B39-E39</f>
        <v>5063134.21654292</v>
      </c>
    </row>
    <row r="40" customFormat="false" ht="15" hidden="false" customHeight="true" outlineLevel="0" collapsed="false">
      <c r="A40" s="48" t="n">
        <v>28</v>
      </c>
      <c r="B40" s="49" t="n">
        <f aca="false">מחשבון!$B$5*(1+$B$6)^28</f>
        <v>5240343.91412192</v>
      </c>
      <c r="C40" s="49" t="n">
        <f aca="false">מחשבון!$B$37*(1+$B$5)^(28-1)</f>
        <v>159932.808401051</v>
      </c>
      <c r="D40" s="49" t="n">
        <f aca="false">C40-IF(28&gt;מחשבון!$B$8,0,מחשבון!$B$31*12)</f>
        <v>159932.808401051</v>
      </c>
      <c r="E40" s="49" t="n">
        <f aca="false">INDEX('לוח סילוקין'!$F$5:$F$34,28)</f>
        <v>0</v>
      </c>
      <c r="F40" s="49" t="n">
        <f aca="false">B40-E40</f>
        <v>5240343.91412192</v>
      </c>
    </row>
    <row r="41" customFormat="false" ht="15" hidden="false" customHeight="true" outlineLevel="0" collapsed="false">
      <c r="A41" s="46" t="n">
        <v>29</v>
      </c>
      <c r="B41" s="47" t="n">
        <f aca="false">מחשבון!$B$5*(1+$B$6)^29</f>
        <v>5423755.95111619</v>
      </c>
      <c r="C41" s="47" t="n">
        <f aca="false">מחשבון!$B$37*(1+$B$5)^(29-1)</f>
        <v>164730.792653083</v>
      </c>
      <c r="D41" s="47" t="n">
        <f aca="false">C41-IF(29&gt;מחשבון!$B$8,0,מחשבון!$B$31*12)</f>
        <v>164730.792653083</v>
      </c>
      <c r="E41" s="47" t="n">
        <f aca="false">INDEX('לוח סילוקין'!$F$5:$F$34,29)</f>
        <v>0</v>
      </c>
      <c r="F41" s="47" t="n">
        <f aca="false">B41-E41</f>
        <v>5423755.95111619</v>
      </c>
    </row>
    <row r="42" customFormat="false" ht="15" hidden="false" customHeight="true" outlineLevel="0" collapsed="false">
      <c r="A42" s="48" t="n">
        <v>30</v>
      </c>
      <c r="B42" s="49" t="n">
        <f aca="false">מחשבון!$B$5*(1+$B$6)^30</f>
        <v>5613587.40940526</v>
      </c>
      <c r="C42" s="49" t="n">
        <f aca="false">מחשבון!$B$37*(1+$B$5)^(30-1)</f>
        <v>169672.716432675</v>
      </c>
      <c r="D42" s="49" t="n">
        <f aca="false">C42-IF(30&gt;מחשבון!$B$8,0,מחשבון!$B$31*12)</f>
        <v>169672.716432675</v>
      </c>
      <c r="E42" s="49" t="n">
        <f aca="false">INDEX('לוח סילוקין'!$F$5:$F$34,30)</f>
        <v>0</v>
      </c>
      <c r="F42" s="49" t="n">
        <f aca="false">B42-E42</f>
        <v>5613587.40940526</v>
      </c>
    </row>
    <row r="44" customFormat="false" ht="15" hidden="false" customHeight="true" outlineLevel="0" collapsed="false">
      <c r="A44" s="52" t="s">
        <v>121</v>
      </c>
      <c r="B44" s="5"/>
    </row>
    <row r="45" customFormat="false" ht="15" hidden="false" customHeight="true" outlineLevel="0" collapsed="false">
      <c r="A45" s="6" t="s">
        <v>122</v>
      </c>
      <c r="B45" s="13" t="n">
        <f aca="false">INDEX(B13:B42,$B$7)</f>
        <v>2821197.52124224</v>
      </c>
    </row>
    <row r="46" customFormat="false" ht="15" hidden="false" customHeight="true" outlineLevel="0" collapsed="false">
      <c r="A46" s="6" t="s">
        <v>123</v>
      </c>
      <c r="B46" s="13" t="n">
        <f aca="false">INDEX(E13:E42,$B$7)</f>
        <v>1101332.06722231</v>
      </c>
    </row>
    <row r="47" customFormat="false" ht="15" hidden="false" customHeight="true" outlineLevel="0" collapsed="false">
      <c r="A47" s="6" t="s">
        <v>124</v>
      </c>
      <c r="B47" s="13" t="n">
        <f aca="false">B45*$B$8</f>
        <v>56423.9504248448</v>
      </c>
    </row>
    <row r="48" customFormat="false" ht="15" hidden="false" customHeight="true" outlineLevel="0" collapsed="false">
      <c r="A48" s="6" t="s">
        <v>125</v>
      </c>
      <c r="B48" s="13" t="n">
        <f aca="false">B45-מחשבון!$B$38-B47</f>
        <v>705029.645817397</v>
      </c>
      <c r="D48" s="6" t="s">
        <v>126</v>
      </c>
      <c r="E48" s="13" t="n">
        <f aca="false">מחשבון!$B$38*((1+$B$58)^$B$7-1)</f>
        <v>576902.43839484</v>
      </c>
    </row>
    <row r="49" customFormat="false" ht="15" hidden="false" customHeight="true" outlineLevel="0" collapsed="false">
      <c r="A49" s="6" t="s">
        <v>127</v>
      </c>
      <c r="B49" s="14" t="n">
        <f aca="false">IF($B$9="כן",IF($B$45&lt;=$B$60,0,E49*($B$45-$B$60)/$B$45),E49)*IF($B$59="כן",0.3,0.25)</f>
        <v>32031.8018556393</v>
      </c>
      <c r="D49" s="6" t="s">
        <v>128</v>
      </c>
      <c r="E49" s="13" t="n">
        <f aca="false">MAX(0,B48-E48)</f>
        <v>128127.207422557</v>
      </c>
    </row>
    <row r="50" customFormat="false" ht="15" hidden="false" customHeight="true" outlineLevel="0" collapsed="false">
      <c r="A50" s="6" t="s">
        <v>129</v>
      </c>
      <c r="B50" s="14" t="n">
        <f aca="false">B45-B47-B46-B49</f>
        <v>1631409.70173945</v>
      </c>
    </row>
    <row r="51" customFormat="false" ht="15" hidden="false" customHeight="true" outlineLevel="0" collapsed="false">
      <c r="A51" s="6" t="s">
        <v>130</v>
      </c>
      <c r="B51" s="13" t="n">
        <f aca="true">SUM(OFFSET(D13,0,0,$B$7,1))</f>
        <v>-205995.221294448</v>
      </c>
    </row>
    <row r="52" customFormat="false" ht="15" hidden="false" customHeight="true" outlineLevel="0" collapsed="false">
      <c r="A52" s="6" t="s">
        <v>131</v>
      </c>
      <c r="B52" s="13" t="n">
        <f aca="false">מחשבון!$B$30</f>
        <v>559743.925</v>
      </c>
    </row>
    <row r="53" customFormat="false" ht="15" hidden="false" customHeight="true" outlineLevel="0" collapsed="false">
      <c r="A53" s="6" t="s">
        <v>132</v>
      </c>
      <c r="B53" s="20" t="n">
        <f aca="false">B50+B51-B52</f>
        <v>865670.555444998</v>
      </c>
    </row>
    <row r="54" customFormat="false" ht="15" hidden="false" customHeight="true" outlineLevel="0" collapsed="false">
      <c r="A54" s="6" t="s">
        <v>133</v>
      </c>
      <c r="B54" s="21" t="n">
        <f aca="false">IF(B52&gt;0,B53/B52,0)</f>
        <v>1.54654747783998</v>
      </c>
    </row>
    <row r="55" customFormat="false" ht="15" hidden="false" customHeight="true" outlineLevel="0" collapsed="false">
      <c r="A55" s="6" t="s">
        <v>134</v>
      </c>
      <c r="B55" s="21" t="n">
        <f aca="false">IF(AND(B52&gt;0,$B$7&gt;0),(1+B54)^(1/$B$7)-1,0)</f>
        <v>0.0979818920042921</v>
      </c>
    </row>
    <row r="57" customFormat="false" ht="15" hidden="false" customHeight="false" outlineLevel="0" collapsed="false">
      <c r="A57" s="53" t="s">
        <v>135</v>
      </c>
      <c r="B57" s="18"/>
    </row>
    <row r="58" customFormat="false" ht="15" hidden="false" customHeight="false" outlineLevel="0" collapsed="false">
      <c r="A58" s="6" t="s">
        <v>136</v>
      </c>
      <c r="B58" s="12" t="n">
        <v>0.025</v>
      </c>
    </row>
    <row r="59" customFormat="false" ht="15" hidden="false" customHeight="false" outlineLevel="0" collapsed="false">
      <c r="A59" s="6" t="s">
        <v>137</v>
      </c>
      <c r="B59" s="19" t="s">
        <v>114</v>
      </c>
    </row>
    <row r="60" customFormat="false" ht="15" hidden="false" customHeight="false" outlineLevel="0" collapsed="false">
      <c r="A60" s="6" t="s">
        <v>138</v>
      </c>
      <c r="B60" s="13" t="n">
        <f aca="false">נתונים!$B$26</f>
        <v>5008000</v>
      </c>
    </row>
    <row r="61" customFormat="false" ht="15" hidden="false" customHeight="false" outlineLevel="0" collapsed="false">
      <c r="A61" s="6" t="s">
        <v>139</v>
      </c>
      <c r="B61" s="12" t="n">
        <v>0.04</v>
      </c>
    </row>
    <row r="63" customFormat="false" ht="15" hidden="false" customHeight="false" outlineLevel="0" collapsed="false">
      <c r="A63" s="6" t="s">
        <v>140</v>
      </c>
      <c r="B63" s="13" t="n">
        <f aca="false">B52*(1+$B$61)^$B$7</f>
        <v>828557.745999013</v>
      </c>
    </row>
    <row r="64" customFormat="false" ht="15" hidden="false" customHeight="false" outlineLevel="0" collapsed="false">
      <c r="A64" s="6" t="s">
        <v>141</v>
      </c>
      <c r="B64" s="20" t="n">
        <f aca="false">B53-(B63-B52)</f>
        <v>596856.734445986</v>
      </c>
    </row>
  </sheetData>
  <dataValidations count="2">
    <dataValidation allowBlank="false" errorStyle="stop" operator="between" showDropDown="false" showErrorMessage="false" showInputMessage="false" sqref="B9" type="list">
      <formula1>"כן,לא"</formula1>
      <formula2>0</formula2>
    </dataValidation>
    <dataValidation allowBlank="false" errorStyle="stop" operator="between" showDropDown="false" showErrorMessage="false" showInputMessage="false" sqref="B59" type="list">
      <formula1>"כן,לא"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</cols>
  <sheetData>
    <row r="1" customFormat="false" ht="18" hidden="false" customHeight="true" outlineLevel="0" collapsed="false">
      <c r="A1" s="45" t="s">
        <v>142</v>
      </c>
    </row>
    <row r="2" customFormat="false" ht="15" hidden="false" customHeight="true" outlineLevel="0" collapsed="false">
      <c r="A2" s="3" t="s">
        <v>143</v>
      </c>
    </row>
    <row r="4" customFormat="false" ht="15" hidden="false" customHeight="true" outlineLevel="0" collapsed="false">
      <c r="A4" s="54" t="s">
        <v>144</v>
      </c>
      <c r="B4" s="23" t="s">
        <v>145</v>
      </c>
      <c r="C4" s="23" t="s">
        <v>146</v>
      </c>
      <c r="D4" s="23" t="s">
        <v>147</v>
      </c>
      <c r="E4" s="23" t="s">
        <v>148</v>
      </c>
    </row>
    <row r="5" customFormat="false" ht="15" hidden="false" customHeight="true" outlineLevel="0" collapsed="false">
      <c r="A5" s="55" t="s">
        <v>3</v>
      </c>
      <c r="B5" s="7" t="n">
        <v>1800000</v>
      </c>
      <c r="C5" s="7" t="n">
        <v>2200000</v>
      </c>
      <c r="D5" s="7" t="n">
        <v>2600000</v>
      </c>
      <c r="E5" s="7" t="n">
        <v>3000000</v>
      </c>
    </row>
    <row r="6" customFormat="false" ht="15" hidden="false" customHeight="true" outlineLevel="0" collapsed="false">
      <c r="A6" s="56" t="s">
        <v>4</v>
      </c>
      <c r="B6" s="8" t="s">
        <v>149</v>
      </c>
      <c r="C6" s="8" t="s">
        <v>149</v>
      </c>
      <c r="D6" s="8" t="s">
        <v>149</v>
      </c>
      <c r="E6" s="8" t="s">
        <v>149</v>
      </c>
    </row>
    <row r="7" customFormat="false" ht="15" hidden="false" customHeight="true" outlineLevel="0" collapsed="false">
      <c r="A7" s="55" t="s">
        <v>6</v>
      </c>
      <c r="B7" s="9" t="n">
        <v>0.5</v>
      </c>
      <c r="C7" s="9" t="n">
        <v>0.5</v>
      </c>
      <c r="D7" s="9" t="n">
        <v>0.5</v>
      </c>
      <c r="E7" s="9" t="n">
        <v>0.5</v>
      </c>
    </row>
    <row r="8" customFormat="false" ht="15" hidden="false" customHeight="true" outlineLevel="0" collapsed="false">
      <c r="A8" s="55" t="s">
        <v>150</v>
      </c>
      <c r="B8" s="10" t="n">
        <v>25</v>
      </c>
      <c r="C8" s="10" t="n">
        <v>25</v>
      </c>
      <c r="D8" s="10" t="n">
        <v>25</v>
      </c>
      <c r="E8" s="10" t="n">
        <v>25</v>
      </c>
    </row>
    <row r="9" customFormat="false" ht="15" hidden="false" customHeight="true" outlineLevel="0" collapsed="false">
      <c r="A9" s="55" t="s">
        <v>8</v>
      </c>
      <c r="B9" s="11" t="n">
        <v>0.048</v>
      </c>
      <c r="C9" s="11" t="n">
        <v>0.048</v>
      </c>
      <c r="D9" s="11" t="n">
        <v>0.048</v>
      </c>
      <c r="E9" s="11" t="n">
        <v>0.048</v>
      </c>
    </row>
    <row r="10" customFormat="false" ht="15" hidden="false" customHeight="true" outlineLevel="0" collapsed="false">
      <c r="A10" s="55" t="s">
        <v>151</v>
      </c>
      <c r="B10" s="7" t="n">
        <v>6000</v>
      </c>
      <c r="C10" s="7" t="n">
        <v>7000</v>
      </c>
      <c r="D10" s="7" t="n">
        <v>8200</v>
      </c>
      <c r="E10" s="7" t="n">
        <v>9500</v>
      </c>
    </row>
    <row r="11" customFormat="false" ht="15" hidden="false" customHeight="true" outlineLevel="0" collapsed="false">
      <c r="A11" s="55" t="s">
        <v>152</v>
      </c>
      <c r="B11" s="12" t="n">
        <v>0.02</v>
      </c>
      <c r="C11" s="12" t="n">
        <v>0.02</v>
      </c>
      <c r="D11" s="12" t="n">
        <v>0.02</v>
      </c>
      <c r="E11" s="12" t="n">
        <v>0.02</v>
      </c>
    </row>
    <row r="12" customFormat="false" ht="15" hidden="false" customHeight="true" outlineLevel="0" collapsed="false">
      <c r="A12" s="55" t="s">
        <v>153</v>
      </c>
      <c r="B12" s="11" t="n">
        <v>0.005</v>
      </c>
      <c r="C12" s="11" t="n">
        <v>0.005</v>
      </c>
      <c r="D12" s="11" t="n">
        <v>0.005</v>
      </c>
      <c r="E12" s="11" t="n">
        <v>0.005</v>
      </c>
    </row>
    <row r="14" customFormat="false" ht="15" hidden="false" customHeight="true" outlineLevel="0" collapsed="false">
      <c r="A14" s="52" t="s">
        <v>154</v>
      </c>
      <c r="B14" s="5"/>
      <c r="C14" s="5"/>
      <c r="D14" s="5"/>
      <c r="E14" s="5"/>
    </row>
    <row r="15" customFormat="false" ht="15" hidden="false" customHeight="true" outlineLevel="0" collapsed="false">
      <c r="A15" s="57" t="s">
        <v>155</v>
      </c>
      <c r="B15" s="14" t="n">
        <f aca="false">IF(B6="דירה להשקעה",MAX(0,MIN(B5,נתונים!$B$13)-נתונים!$A$13)*נתונים!$C$13+MAX(0,MIN(B5,נתונים!$B$14)-נתונים!$A$14)*נתונים!$C$14,MAX(0,MIN(B5,נתונים!$B$6)-נתונים!$A$6)*נתונים!$C$6+MAX(0,MIN(B5,נתונים!$B$7)-נתונים!$A$7)*נתונים!$C$7+MAX(0,MIN(B5,נתונים!$B$8)-נתונים!$A$8)*נתונים!$C$8+MAX(0,MIN(B5,נתונים!$B$9)-נתונים!$A$9)*נתונים!$C$9)</f>
        <v>144000</v>
      </c>
      <c r="C15" s="14" t="n">
        <f aca="false">IF(C6="דירה להשקעה",MAX(0,MIN(C5,נתונים!$B$13)-נתונים!$A$13)*נתונים!$C$13+MAX(0,MIN(C5,נתונים!$B$14)-נתונים!$A$14)*נתונים!$C$14,MAX(0,MIN(C5,נתונים!$B$6)-נתונים!$A$6)*נתונים!$C$6+MAX(0,MIN(C5,נתונים!$B$7)-נתונים!$A$7)*נתונים!$C$7+MAX(0,MIN(C5,נתונים!$B$8)-נתונים!$A$8)*נתונים!$C$8+MAX(0,MIN(C5,נתונים!$B$9)-נתונים!$A$9)*נתונים!$C$9)</f>
        <v>176000</v>
      </c>
      <c r="D15" s="14" t="n">
        <f aca="false">IF(D6="דירה להשקעה",MAX(0,MIN(D5,נתונים!$B$13)-נתונים!$A$13)*נתונים!$C$13+MAX(0,MIN(D5,נתונים!$B$14)-נתונים!$A$14)*נתונים!$C$14,MAX(0,MIN(D5,נתונים!$B$6)-נתונים!$A$6)*נתונים!$C$6+MAX(0,MIN(D5,נתונים!$B$7)-נתונים!$A$7)*נתונים!$C$7+MAX(0,MIN(D5,נתונים!$B$8)-נתונים!$A$8)*נתונים!$C$8+MAX(0,MIN(D5,נתונים!$B$9)-נתונים!$A$9)*נתונים!$C$9)</f>
        <v>208000</v>
      </c>
      <c r="E15" s="14" t="n">
        <f aca="false">IF(E6="דירה להשקעה",MAX(0,MIN(E5,נתונים!$B$13)-נתונים!$A$13)*נתונים!$C$13+MAX(0,MIN(E5,נתונים!$B$14)-נתונים!$A$14)*נתונים!$C$14,MAX(0,MIN(E5,נתונים!$B$6)-נתונים!$A$6)*נתונים!$C$6+MAX(0,MIN(E5,נתונים!$B$7)-נתונים!$A$7)*נתונים!$C$7+MAX(0,MIN(E5,נתונים!$B$8)-נתונים!$A$8)*נתונים!$C$8+MAX(0,MIN(E5,נתונים!$B$9)-נתונים!$A$9)*נתונים!$C$9)</f>
        <v>240000</v>
      </c>
    </row>
    <row r="16" customFormat="false" ht="15" hidden="false" customHeight="true" outlineLevel="0" collapsed="false">
      <c r="A16" s="55" t="s">
        <v>156</v>
      </c>
      <c r="B16" s="13" t="n">
        <f aca="false">B15+B5*B11*1.18+B5*B12*1.18</f>
        <v>197100</v>
      </c>
      <c r="C16" s="13" t="n">
        <f aca="false">C15+C5*C11*1.18+C5*C12*1.18</f>
        <v>240900</v>
      </c>
      <c r="D16" s="13" t="n">
        <f aca="false">D15+D5*D11*1.18+D5*D12*1.18</f>
        <v>284700</v>
      </c>
      <c r="E16" s="13" t="n">
        <f aca="false">E15+E5*E11*1.18+E5*E12*1.18</f>
        <v>328500</v>
      </c>
    </row>
    <row r="17" customFormat="false" ht="15" hidden="false" customHeight="true" outlineLevel="0" collapsed="false">
      <c r="A17" s="55" t="s">
        <v>157</v>
      </c>
      <c r="B17" s="15" t="n">
        <f aca="false">IF(B6="דירה להשקעה",נתונים!$B$19,IF(B6="משפר דיור",נתונים!$B$18,נתונים!$B$17))</f>
        <v>0.5</v>
      </c>
      <c r="C17" s="15" t="n">
        <f aca="false">IF(C6="דירה להשקעה",נתונים!$B$19,IF(C6="משפר דיור",נתונים!$B$18,נתונים!$B$17))</f>
        <v>0.5</v>
      </c>
      <c r="D17" s="15" t="n">
        <f aca="false">IF(D6="דירה להשקעה",נתונים!$B$19,IF(D6="משפר דיור",נתונים!$B$18,נתונים!$B$17))</f>
        <v>0.5</v>
      </c>
      <c r="E17" s="15" t="n">
        <f aca="false">IF(E6="דירה להשקעה",נתונים!$B$19,IF(E6="משפר דיור",נתונים!$B$18,נתונים!$B$17))</f>
        <v>0.5</v>
      </c>
    </row>
    <row r="18" customFormat="false" ht="15" hidden="false" customHeight="true" outlineLevel="0" collapsed="false">
      <c r="A18" s="55" t="s">
        <v>158</v>
      </c>
      <c r="B18" s="13" t="n">
        <f aca="false">B5*MIN(B7,B17)</f>
        <v>900000</v>
      </c>
      <c r="C18" s="13" t="n">
        <f aca="false">C5*MIN(C7,C17)</f>
        <v>1100000</v>
      </c>
      <c r="D18" s="13" t="n">
        <f aca="false">D5*MIN(D7,D17)</f>
        <v>1300000</v>
      </c>
      <c r="E18" s="13" t="n">
        <f aca="false">E5*MIN(E7,E17)</f>
        <v>1500000</v>
      </c>
    </row>
    <row r="19" customFormat="false" ht="15" hidden="false" customHeight="true" outlineLevel="0" collapsed="false">
      <c r="A19" s="57" t="s">
        <v>159</v>
      </c>
      <c r="B19" s="14" t="n">
        <f aca="false">B5-B18+B16</f>
        <v>1097100</v>
      </c>
      <c r="C19" s="14" t="n">
        <f aca="false">C5-C18+C16</f>
        <v>1340900</v>
      </c>
      <c r="D19" s="14" t="n">
        <f aca="false">D5-D18+D16</f>
        <v>1584700</v>
      </c>
      <c r="E19" s="14" t="n">
        <f aca="false">E5-E18+E16</f>
        <v>1828500</v>
      </c>
    </row>
    <row r="20" customFormat="false" ht="15" hidden="false" customHeight="true" outlineLevel="0" collapsed="false">
      <c r="A20" s="57" t="s">
        <v>28</v>
      </c>
      <c r="B20" s="14" t="n">
        <f aca="false">IF(B18&gt;0,PMT(B9/12,B8*12,-B18),0)</f>
        <v>5156.97265860171</v>
      </c>
      <c r="C20" s="14" t="n">
        <f aca="false">IF(C18&gt;0,PMT(C9/12,C8*12,-C18),0)</f>
        <v>6302.96658273542</v>
      </c>
      <c r="D20" s="14" t="n">
        <f aca="false">IF(D18&gt;0,PMT(D9/12,D8*12,-D18),0)</f>
        <v>7448.96050686913</v>
      </c>
      <c r="E20" s="14" t="n">
        <f aca="false">IF(E18&gt;0,PMT(E9/12,E8*12,-E18),0)</f>
        <v>8594.95443100284</v>
      </c>
    </row>
    <row r="21" customFormat="false" ht="15" hidden="false" customHeight="true" outlineLevel="0" collapsed="false">
      <c r="A21" s="57" t="s">
        <v>35</v>
      </c>
      <c r="B21" s="16" t="n">
        <f aca="false">IF(B5&gt;0,B10*12/B5,0)</f>
        <v>0.04</v>
      </c>
      <c r="C21" s="16" t="n">
        <f aca="false">IF(C5&gt;0,C10*12/C5,0)</f>
        <v>0.0381818181818182</v>
      </c>
      <c r="D21" s="16" t="n">
        <f aca="false">IF(D5&gt;0,D10*12/D5,0)</f>
        <v>0.0378461538461539</v>
      </c>
      <c r="E21" s="16" t="n">
        <f aca="false">IF(E5&gt;0,E10*12/E5,0)</f>
        <v>0.038</v>
      </c>
    </row>
    <row r="22" customFormat="false" ht="15" hidden="false" customHeight="true" outlineLevel="0" collapsed="false">
      <c r="A22" s="57" t="s">
        <v>37</v>
      </c>
      <c r="B22" s="14" t="n">
        <f aca="false">B10-B20</f>
        <v>843.027341398294</v>
      </c>
      <c r="C22" s="14" t="n">
        <f aca="false">C10-C20</f>
        <v>697.033417264581</v>
      </c>
      <c r="D22" s="14" t="n">
        <f aca="false">D10-D20</f>
        <v>751.039493130869</v>
      </c>
      <c r="E22" s="14" t="n">
        <f aca="false">E10-E20</f>
        <v>905.045568997157</v>
      </c>
    </row>
    <row r="23" customFormat="false" ht="15" hidden="false" customHeight="true" outlineLevel="0" collapsed="false">
      <c r="A23" s="58" t="s">
        <v>39</v>
      </c>
      <c r="B23" s="21" t="n">
        <f aca="false">IF(B19&gt;0,(B10-B20)*12/B19,0)</f>
        <v>0.00922097174075246</v>
      </c>
      <c r="C23" s="21" t="n">
        <f aca="false">IF(C19&gt;0,(C10-C20)*12/C19,0)</f>
        <v>0.00623790066908417</v>
      </c>
      <c r="D23" s="21" t="n">
        <f aca="false">IF(D19&gt;0,(D10-D20)*12/D19,0)</f>
        <v>0.00568717985585312</v>
      </c>
      <c r="E23" s="21" t="n">
        <f aca="false">IF(E19&gt;0,(E10-E20)*12/E19,0)</f>
        <v>0.00593959356191735</v>
      </c>
    </row>
  </sheetData>
  <dataValidations count="1">
    <dataValidation allowBlank="false" errorStyle="stop" operator="between" showDropDown="false" showErrorMessage="false" showInputMessage="false" sqref="B6:E6" type="list">
      <formula1>"דירה יחידה,משפר דיור,דירה להשקעה"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3"/>
  </cols>
  <sheetData>
    <row r="1" customFormat="false" ht="18" hidden="false" customHeight="true" outlineLevel="0" collapsed="false">
      <c r="A1" s="45" t="s">
        <v>160</v>
      </c>
    </row>
    <row r="2" customFormat="false" ht="15" hidden="false" customHeight="true" outlineLevel="0" collapsed="false">
      <c r="A2" s="3" t="s">
        <v>161</v>
      </c>
    </row>
    <row r="4" customFormat="false" ht="15" hidden="false" customHeight="true" outlineLevel="0" collapsed="false">
      <c r="A4" s="34" t="s">
        <v>162</v>
      </c>
    </row>
    <row r="5" customFormat="false" ht="15" hidden="false" customHeight="true" outlineLevel="0" collapsed="false">
      <c r="A5" s="54" t="s">
        <v>163</v>
      </c>
      <c r="B5" s="23" t="n">
        <v>15</v>
      </c>
      <c r="C5" s="23" t="n">
        <v>20</v>
      </c>
      <c r="D5" s="23" t="n">
        <v>25</v>
      </c>
      <c r="E5" s="23" t="n">
        <v>30</v>
      </c>
    </row>
    <row r="6" customFormat="false" ht="15" hidden="false" customHeight="true" outlineLevel="0" collapsed="false">
      <c r="A6" s="59" t="n">
        <v>0.03</v>
      </c>
      <c r="B6" s="47" t="n">
        <f aca="false">IF(מחשבון!$B$29&gt;0,PMT($A6/12,15*12,-מחשבון!$B$29),0)</f>
        <v>10358.7246041699</v>
      </c>
      <c r="C6" s="47" t="n">
        <f aca="false">IF(מחשבון!$B$29&gt;0,PMT($A6/12,20*12,-מחשבון!$B$29),0)</f>
        <v>8318.96396780868</v>
      </c>
      <c r="D6" s="47" t="n">
        <f aca="false">IF(מחשבון!$B$29&gt;0,PMT($A6/12,25*12,-מחשבון!$B$29),0)</f>
        <v>7113.1697078651</v>
      </c>
      <c r="E6" s="47" t="n">
        <f aca="false">IF(מחשבון!$B$29&gt;0,PMT($A6/12,30*12,-מחשבון!$B$29),0)</f>
        <v>6324.06050594176</v>
      </c>
    </row>
    <row r="7" customFormat="false" ht="15" hidden="false" customHeight="true" outlineLevel="0" collapsed="false">
      <c r="A7" s="59" t="n">
        <v>0.035</v>
      </c>
      <c r="B7" s="47" t="n">
        <f aca="false">IF(מחשבון!$B$29&gt;0,PMT($A7/12,15*12,-מחשבון!$B$29),0)</f>
        <v>10723.2381201476</v>
      </c>
      <c r="C7" s="47" t="n">
        <f aca="false">IF(מחשבון!$B$29&gt;0,PMT($A7/12,20*12,-מחשבון!$B$29),0)</f>
        <v>8699.3957697464</v>
      </c>
      <c r="D7" s="47" t="n">
        <f aca="false">IF(מחשבון!$B$29&gt;0,PMT($A7/12,25*12,-מחשבון!$B$29),0)</f>
        <v>7509.35355389239</v>
      </c>
      <c r="E7" s="47" t="n">
        <f aca="false">IF(מחשבון!$B$29&gt;0,PMT($A7/12,30*12,-מחשבון!$B$29),0)</f>
        <v>6735.67031713237</v>
      </c>
    </row>
    <row r="8" customFormat="false" ht="15" hidden="false" customHeight="true" outlineLevel="0" collapsed="false">
      <c r="A8" s="59" t="n">
        <v>0.04</v>
      </c>
      <c r="B8" s="47" t="n">
        <f aca="false">IF(מחשבון!$B$29&gt;0,PMT($A8/12,15*12,-מחשבון!$B$29),0)</f>
        <v>11095.3188841391</v>
      </c>
      <c r="C8" s="47" t="n">
        <f aca="false">IF(מחשבון!$B$29&gt;0,PMT($A8/12,20*12,-מחשבון!$B$29),0)</f>
        <v>9089.70493949128</v>
      </c>
      <c r="D8" s="47" t="n">
        <f aca="false">IF(מחשבון!$B$29&gt;0,PMT($A8/12,25*12,-מחשבון!$B$29),0)</f>
        <v>7917.55260446666</v>
      </c>
      <c r="E8" s="47" t="n">
        <f aca="false">IF(מחשבון!$B$29&gt;0,PMT($A8/12,30*12,-מחשבון!$B$29),0)</f>
        <v>7161.2294319819</v>
      </c>
    </row>
    <row r="9" customFormat="false" ht="15" hidden="false" customHeight="true" outlineLevel="0" collapsed="false">
      <c r="A9" s="59" t="n">
        <v>0.045</v>
      </c>
      <c r="B9" s="47" t="n">
        <f aca="false">IF(מחשבון!$B$29&gt;0,PMT($A9/12,15*12,-מחשבון!$B$29),0)</f>
        <v>11474.8993322018</v>
      </c>
      <c r="C9" s="47" t="n">
        <f aca="false">IF(מחשבון!$B$29&gt;0,PMT($A9/12,20*12,-מחשבון!$B$29),0)</f>
        <v>9489.74064329944</v>
      </c>
      <c r="D9" s="47" t="n">
        <f aca="false">IF(מחשבון!$B$29&gt;0,PMT($A9/12,25*12,-מחשבון!$B$29),0)</f>
        <v>8337.48716942983</v>
      </c>
      <c r="E9" s="47" t="n">
        <f aca="false">IF(מחשבון!$B$29&gt;0,PMT($A9/12,30*12,-מחשבון!$B$29),0)</f>
        <v>7600.27964738821</v>
      </c>
    </row>
    <row r="10" customFormat="false" ht="15" hidden="false" customHeight="true" outlineLevel="0" collapsed="false">
      <c r="A10" s="59" t="n">
        <v>0.05</v>
      </c>
      <c r="B10" s="47" t="n">
        <f aca="false">IF(מחשבון!$B$29&gt;0,PMT($A10/12,15*12,-מחשבון!$B$29),0)</f>
        <v>11861.9044011232</v>
      </c>
      <c r="C10" s="47" t="n">
        <f aca="false">IF(מחשבון!$B$29&gt;0,PMT($A10/12,20*12,-מחשבון!$B$29),0)</f>
        <v>9899.33608824986</v>
      </c>
      <c r="D10" s="47" t="n">
        <f aca="false">IF(מחשבון!$B$29&gt;0,PMT($A10/12,25*12,-מחשבון!$B$29),0)</f>
        <v>8768.85062261969</v>
      </c>
      <c r="E10" s="47" t="n">
        <f aca="false">IF(מחשבון!$B$29&gt;0,PMT($A10/12,30*12,-מחשבון!$B$29),0)</f>
        <v>8052.32434518208</v>
      </c>
    </row>
    <row r="11" customFormat="false" ht="15" hidden="false" customHeight="true" outlineLevel="0" collapsed="false">
      <c r="A11" s="59" t="n">
        <v>0.055</v>
      </c>
      <c r="B11" s="47" t="n">
        <f aca="false">IF(מחשבון!$B$29&gt;0,PMT($A11/12,15*12,-מחשבון!$B$29),0)</f>
        <v>12256.2518193171</v>
      </c>
      <c r="C11" s="47" t="n">
        <f aca="false">IF(מחשבון!$B$29&gt;0,PMT($A11/12,20*12,-מחשבון!$B$29),0)</f>
        <v>10318.3096178886</v>
      </c>
      <c r="D11" s="47" t="n">
        <f aca="false">IF(מחשבון!$B$29&gt;0,PMT($A11/12,25*12,-מחשבון!$B$29),0)</f>
        <v>9211.31238422205</v>
      </c>
      <c r="E11" s="47" t="n">
        <f aca="false">IF(מחשבון!$B$29&gt;0,PMT($A11/12,30*12,-מחשבון!$B$29),0)</f>
        <v>8516.83502020505</v>
      </c>
    </row>
    <row r="12" customFormat="false" ht="15" hidden="false" customHeight="true" outlineLevel="0" collapsed="false">
      <c r="A12" s="59" t="n">
        <v>0.06</v>
      </c>
      <c r="B12" s="47" t="n">
        <f aca="false">IF(מחשבון!$B$29&gt;0,PMT($A12/12,15*12,-מחשבון!$B$29),0)</f>
        <v>12657.8524207268</v>
      </c>
      <c r="C12" s="47" t="n">
        <f aca="false">IF(מחשבון!$B$29&gt;0,PMT($A12/12,20*12,-מחשבון!$B$29),0)</f>
        <v>10746.4658771725</v>
      </c>
      <c r="D12" s="47" t="n">
        <f aca="false">IF(מחשבון!$B$29&gt;0,PMT($A12/12,25*12,-מחשבון!$B$29),0)</f>
        <v>9664.52102228263</v>
      </c>
      <c r="E12" s="47" t="n">
        <f aca="false">IF(מחשבון!$B$29&gt;0,PMT($A12/12,30*12,-מחשבון!$B$29),0)</f>
        <v>8993.25787729129</v>
      </c>
    </row>
    <row r="13" customFormat="false" ht="15" hidden="false" customHeight="true" outlineLevel="0" collapsed="false">
      <c r="A13" s="59" t="n">
        <v>0.065</v>
      </c>
      <c r="B13" s="47" t="n">
        <f aca="false">IF(מחשבון!$B$29&gt;0,PMT($A13/12,15*12,-מחשבון!$B$29),0)</f>
        <v>13066.6104794604</v>
      </c>
      <c r="C13" s="47" t="n">
        <f aca="false">IF(מחשבון!$B$29&gt;0,PMT($A13/12,20*12,-מחשבון!$B$29),0)</f>
        <v>11183.5970327265</v>
      </c>
      <c r="D13" s="47" t="n">
        <f aca="false">IF(מחשבון!$B$29&gt;0,PMT($A13/12,25*12,-מחשבון!$B$29),0)</f>
        <v>10128.1074202146</v>
      </c>
      <c r="E13" s="47" t="n">
        <f aca="false">IF(מחשבון!$B$29&gt;0,PMT($A13/12,30*12,-מחשבון!$B$29),0)</f>
        <v>9481.02035239446</v>
      </c>
    </row>
    <row r="16" customFormat="false" ht="15" hidden="false" customHeight="true" outlineLevel="0" collapsed="false">
      <c r="A16" s="34" t="s">
        <v>164</v>
      </c>
    </row>
    <row r="17" customFormat="false" ht="15" hidden="false" customHeight="true" outlineLevel="0" collapsed="false">
      <c r="A17" s="54" t="s">
        <v>165</v>
      </c>
      <c r="B17" s="60" t="n">
        <v>5000</v>
      </c>
      <c r="C17" s="60" t="n">
        <v>6000</v>
      </c>
      <c r="D17" s="60" t="n">
        <v>7000</v>
      </c>
      <c r="E17" s="60" t="n">
        <v>8000</v>
      </c>
    </row>
    <row r="18" customFormat="false" ht="15" hidden="false" customHeight="true" outlineLevel="0" collapsed="false">
      <c r="A18" s="61" t="n">
        <f aca="false">מחשבון!$B$5*0.85</f>
        <v>1700000</v>
      </c>
      <c r="B18" s="62" t="n">
        <f aca="false">IF($A18&gt;0,5000*12/$A18,0)</f>
        <v>0.0352941176470588</v>
      </c>
      <c r="C18" s="62" t="n">
        <f aca="false">IF($A18&gt;0,6000*12/$A18,0)</f>
        <v>0.0423529411764706</v>
      </c>
      <c r="D18" s="62" t="n">
        <f aca="false">IF($A18&gt;0,7000*12/$A18,0)</f>
        <v>0.0494117647058824</v>
      </c>
      <c r="E18" s="62" t="n">
        <f aca="false">IF($A18&gt;0,8000*12/$A18,0)</f>
        <v>0.0564705882352941</v>
      </c>
    </row>
    <row r="19" customFormat="false" ht="15" hidden="false" customHeight="true" outlineLevel="0" collapsed="false">
      <c r="A19" s="61" t="n">
        <f aca="false">מחשבון!$B$5*0.9</f>
        <v>1800000</v>
      </c>
      <c r="B19" s="62" t="n">
        <f aca="false">IF($A19&gt;0,5000*12/$A19,0)</f>
        <v>0.0333333333333333</v>
      </c>
      <c r="C19" s="62" t="n">
        <f aca="false">IF($A19&gt;0,6000*12/$A19,0)</f>
        <v>0.04</v>
      </c>
      <c r="D19" s="62" t="n">
        <f aca="false">IF($A19&gt;0,7000*12/$A19,0)</f>
        <v>0.0466666666666667</v>
      </c>
      <c r="E19" s="62" t="n">
        <f aca="false">IF($A19&gt;0,8000*12/$A19,0)</f>
        <v>0.0533333333333333</v>
      </c>
    </row>
    <row r="20" customFormat="false" ht="15" hidden="false" customHeight="true" outlineLevel="0" collapsed="false">
      <c r="A20" s="61" t="n">
        <f aca="false">מחשבון!$B$5*0.95</f>
        <v>1900000</v>
      </c>
      <c r="B20" s="62" t="n">
        <f aca="false">IF($A20&gt;0,5000*12/$A20,0)</f>
        <v>0.0315789473684211</v>
      </c>
      <c r="C20" s="62" t="n">
        <f aca="false">IF($A20&gt;0,6000*12/$A20,0)</f>
        <v>0.0378947368421053</v>
      </c>
      <c r="D20" s="62" t="n">
        <f aca="false">IF($A20&gt;0,7000*12/$A20,0)</f>
        <v>0.0442105263157895</v>
      </c>
      <c r="E20" s="62" t="n">
        <f aca="false">IF($A20&gt;0,8000*12/$A20,0)</f>
        <v>0.0505263157894737</v>
      </c>
    </row>
    <row r="21" customFormat="false" ht="15" hidden="false" customHeight="true" outlineLevel="0" collapsed="false">
      <c r="A21" s="61" t="n">
        <f aca="false">מחשבון!$B$5*1</f>
        <v>2000000</v>
      </c>
      <c r="B21" s="62" t="n">
        <f aca="false">IF($A21&gt;0,5000*12/$A21,0)</f>
        <v>0.03</v>
      </c>
      <c r="C21" s="62" t="n">
        <f aca="false">IF($A21&gt;0,6000*12/$A21,0)</f>
        <v>0.036</v>
      </c>
      <c r="D21" s="62" t="n">
        <f aca="false">IF($A21&gt;0,7000*12/$A21,0)</f>
        <v>0.042</v>
      </c>
      <c r="E21" s="62" t="n">
        <f aca="false">IF($A21&gt;0,8000*12/$A21,0)</f>
        <v>0.048</v>
      </c>
    </row>
    <row r="22" customFormat="false" ht="15" hidden="false" customHeight="true" outlineLevel="0" collapsed="false">
      <c r="A22" s="61" t="n">
        <f aca="false">מחשבון!$B$5*1.05</f>
        <v>2100000</v>
      </c>
      <c r="B22" s="62" t="n">
        <f aca="false">IF($A22&gt;0,5000*12/$A22,0)</f>
        <v>0.0285714285714286</v>
      </c>
      <c r="C22" s="62" t="n">
        <f aca="false">IF($A22&gt;0,6000*12/$A22,0)</f>
        <v>0.0342857142857143</v>
      </c>
      <c r="D22" s="62" t="n">
        <f aca="false">IF($A22&gt;0,7000*12/$A22,0)</f>
        <v>0.04</v>
      </c>
      <c r="E22" s="62" t="n">
        <f aca="false">IF($A22&gt;0,8000*12/$A22,0)</f>
        <v>0.0457142857142857</v>
      </c>
    </row>
    <row r="23" customFormat="false" ht="15" hidden="false" customHeight="true" outlineLevel="0" collapsed="false">
      <c r="A23" s="61" t="n">
        <f aca="false">מחשבון!$B$5*1.1</f>
        <v>2200000</v>
      </c>
      <c r="B23" s="62" t="n">
        <f aca="false">IF($A23&gt;0,5000*12/$A23,0)</f>
        <v>0.0272727272727273</v>
      </c>
      <c r="C23" s="62" t="n">
        <f aca="false">IF($A23&gt;0,6000*12/$A23,0)</f>
        <v>0.0327272727272727</v>
      </c>
      <c r="D23" s="62" t="n">
        <f aca="false">IF($A23&gt;0,7000*12/$A23,0)</f>
        <v>0.0381818181818182</v>
      </c>
      <c r="E23" s="62" t="n">
        <f aca="false">IF($A23&gt;0,8000*12/$A23,0)</f>
        <v>0.0436363636363636</v>
      </c>
    </row>
    <row r="24" customFormat="false" ht="15" hidden="false" customHeight="true" outlineLevel="0" collapsed="false">
      <c r="A24" s="61" t="n">
        <f aca="false">מחשבון!$B$5*1.15</f>
        <v>2300000</v>
      </c>
      <c r="B24" s="62" t="n">
        <f aca="false">IF($A24&gt;0,5000*12/$A24,0)</f>
        <v>0.0260869565217391</v>
      </c>
      <c r="C24" s="62" t="n">
        <f aca="false">IF($A24&gt;0,6000*12/$A24,0)</f>
        <v>0.031304347826087</v>
      </c>
      <c r="D24" s="62" t="n">
        <f aca="false">IF($A24&gt;0,7000*12/$A24,0)</f>
        <v>0.0365217391304348</v>
      </c>
      <c r="E24" s="62" t="n">
        <f aca="false">IF($A24&gt;0,8000*12/$A24,0)</f>
        <v>0.0417391304347826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8" min="8" style="1" width="12"/>
  </cols>
  <sheetData>
    <row r="1" customFormat="false" ht="18" hidden="false" customHeight="true" outlineLevel="0" collapsed="false">
      <c r="A1" s="45" t="s">
        <v>166</v>
      </c>
    </row>
    <row r="2" customFormat="false" ht="15" hidden="false" customHeight="true" outlineLevel="0" collapsed="false">
      <c r="A2" s="3" t="s">
        <v>167</v>
      </c>
    </row>
    <row r="4" customFormat="false" ht="15" hidden="false" customHeight="true" outlineLevel="0" collapsed="false">
      <c r="A4" s="52" t="s">
        <v>168</v>
      </c>
      <c r="B4" s="5"/>
    </row>
    <row r="5" customFormat="false" ht="15" hidden="false" customHeight="true" outlineLevel="0" collapsed="false">
      <c r="A5" s="6" t="s">
        <v>169</v>
      </c>
      <c r="B5" s="63" t="n">
        <f aca="false">COUNT(G16:G315)</f>
        <v>3</v>
      </c>
      <c r="D5" s="6" t="s">
        <v>170</v>
      </c>
      <c r="E5" s="64" t="n">
        <f aca="false">IF(COUNT(G16:G315)&gt;0,MIN(G16:G315),0)</f>
        <v>1850000</v>
      </c>
    </row>
    <row r="6" customFormat="false" ht="15" hidden="false" customHeight="true" outlineLevel="0" collapsed="false">
      <c r="A6" s="6" t="s">
        <v>171</v>
      </c>
      <c r="B6" s="14" t="n">
        <f aca="false">IF(COUNT(G16:G315)&gt;0,AVERAGE(G16:G315),0)</f>
        <v>2006666.66666667</v>
      </c>
      <c r="D6" s="6" t="s">
        <v>172</v>
      </c>
      <c r="E6" s="64" t="n">
        <f aca="false">IF(COUNT(G16:G315)&gt;0,MAX(G16:G315),0)</f>
        <v>2250000</v>
      </c>
    </row>
    <row r="7" customFormat="false" ht="15" hidden="false" customHeight="true" outlineLevel="0" collapsed="false">
      <c r="A7" s="6" t="s">
        <v>173</v>
      </c>
      <c r="B7" s="14" t="n">
        <f aca="false">IF(COUNT(G16:G315)&gt;0,MEDIAN(G16:G315),0)</f>
        <v>1920000</v>
      </c>
      <c r="D7" s="6" t="s">
        <v>174</v>
      </c>
      <c r="E7" s="64" t="n">
        <f aca="false">IF(COUNT(G16:G315)&gt;1,STDEV(G16:G315),0)</f>
        <v>213619.599600162</v>
      </c>
    </row>
    <row r="8" customFormat="false" ht="15" hidden="false" customHeight="true" outlineLevel="0" collapsed="false">
      <c r="A8" s="6" t="s">
        <v>175</v>
      </c>
      <c r="B8" s="14" t="n">
        <f aca="false">IF(SUM(F16:F315)&gt;0,SUM(G16:G315)/SUM(F16:F315),0)</f>
        <v>23794.4664031621</v>
      </c>
      <c r="D8" s="6" t="s">
        <v>176</v>
      </c>
      <c r="E8" s="65" t="n">
        <f aca="false">IF(COUNT(F16:F315)&gt;0,AVERAGE(F16:F315),0)</f>
        <v>84.3333333333333</v>
      </c>
    </row>
    <row r="10" customFormat="false" ht="15" hidden="false" customHeight="true" outlineLevel="0" collapsed="false">
      <c r="A10" s="52" t="s">
        <v>177</v>
      </c>
      <c r="B10" s="5"/>
    </row>
    <row r="11" customFormat="false" ht="15" hidden="false" customHeight="true" outlineLevel="0" collapsed="false">
      <c r="A11" s="6" t="s">
        <v>178</v>
      </c>
      <c r="B11" s="66" t="n">
        <v>80</v>
      </c>
      <c r="D11" s="34" t="s">
        <v>179</v>
      </c>
    </row>
    <row r="12" customFormat="false" ht="15" hidden="false" customHeight="true" outlineLevel="0" collapsed="false">
      <c r="A12" s="6" t="s">
        <v>180</v>
      </c>
      <c r="B12" s="20" t="n">
        <f aca="false">B11*B8</f>
        <v>1903557.31225296</v>
      </c>
      <c r="D12" s="67" t="s">
        <v>181</v>
      </c>
    </row>
    <row r="15" customFormat="false" ht="15" hidden="false" customHeight="true" outlineLevel="0" collapsed="false">
      <c r="A15" s="23" t="s">
        <v>182</v>
      </c>
      <c r="B15" s="23" t="s">
        <v>183</v>
      </c>
      <c r="C15" s="23" t="s">
        <v>184</v>
      </c>
      <c r="D15" s="23" t="s">
        <v>185</v>
      </c>
      <c r="E15" s="23" t="s">
        <v>186</v>
      </c>
      <c r="F15" s="23" t="s">
        <v>187</v>
      </c>
      <c r="G15" s="23" t="s">
        <v>188</v>
      </c>
      <c r="H15" s="23" t="s">
        <v>189</v>
      </c>
    </row>
    <row r="16" customFormat="false" ht="15" hidden="false" customHeight="true" outlineLevel="0" collapsed="false">
      <c r="A16" s="68" t="s">
        <v>190</v>
      </c>
      <c r="B16" s="69" t="s">
        <v>191</v>
      </c>
      <c r="C16" s="69" t="s">
        <v>192</v>
      </c>
      <c r="D16" s="69" t="s">
        <v>193</v>
      </c>
      <c r="E16" s="47" t="n">
        <v>3</v>
      </c>
      <c r="F16" s="47" t="n">
        <v>78</v>
      </c>
      <c r="G16" s="47" t="n">
        <v>1850000</v>
      </c>
      <c r="H16" s="47" t="n">
        <f aca="false">IF(F16&gt;0,G16/F16,"")</f>
        <v>23717.9487179487</v>
      </c>
    </row>
    <row r="17" customFormat="false" ht="15" hidden="false" customHeight="true" outlineLevel="0" collapsed="false">
      <c r="A17" s="70" t="s">
        <v>194</v>
      </c>
      <c r="B17" s="71" t="s">
        <v>195</v>
      </c>
      <c r="C17" s="71" t="s">
        <v>192</v>
      </c>
      <c r="D17" s="71" t="s">
        <v>193</v>
      </c>
      <c r="E17" s="49" t="n">
        <v>4</v>
      </c>
      <c r="F17" s="49" t="n">
        <v>95</v>
      </c>
      <c r="G17" s="49" t="n">
        <v>2250000</v>
      </c>
      <c r="H17" s="49" t="n">
        <f aca="false">IF(F17&gt;0,G17/F17,"")</f>
        <v>23684.2105263158</v>
      </c>
    </row>
    <row r="18" customFormat="false" ht="15" hidden="false" customHeight="true" outlineLevel="0" collapsed="false">
      <c r="A18" s="68" t="s">
        <v>196</v>
      </c>
      <c r="B18" s="69" t="s">
        <v>197</v>
      </c>
      <c r="C18" s="69" t="s">
        <v>198</v>
      </c>
      <c r="D18" s="69" t="s">
        <v>193</v>
      </c>
      <c r="E18" s="47" t="n">
        <v>3</v>
      </c>
      <c r="F18" s="47" t="n">
        <v>80</v>
      </c>
      <c r="G18" s="47" t="n">
        <v>1920000</v>
      </c>
      <c r="H18" s="47" t="n">
        <f aca="false">IF(F18&gt;0,G18/F18,"")</f>
        <v>24000</v>
      </c>
    </row>
    <row r="19" customFormat="false" ht="15" hidden="false" customHeight="true" outlineLevel="0" collapsed="false">
      <c r="A19" s="70"/>
      <c r="B19" s="70"/>
      <c r="C19" s="70"/>
      <c r="D19" s="70"/>
      <c r="E19" s="49"/>
      <c r="F19" s="49"/>
      <c r="G19" s="49"/>
      <c r="H19" s="49" t="str">
        <f aca="false">IF(F19&gt;0,G19/F19,"")</f>
        <v/>
      </c>
    </row>
    <row r="20" customFormat="false" ht="15" hidden="false" customHeight="true" outlineLevel="0" collapsed="false">
      <c r="A20" s="68"/>
      <c r="B20" s="68"/>
      <c r="C20" s="68"/>
      <c r="D20" s="68"/>
      <c r="E20" s="47"/>
      <c r="F20" s="47"/>
      <c r="G20" s="47"/>
      <c r="H20" s="47" t="str">
        <f aca="false">IF(F20&gt;0,G20/F20,"")</f>
        <v/>
      </c>
    </row>
    <row r="21" customFormat="false" ht="15" hidden="false" customHeight="true" outlineLevel="0" collapsed="false">
      <c r="A21" s="70"/>
      <c r="B21" s="70"/>
      <c r="C21" s="70"/>
      <c r="D21" s="70"/>
      <c r="E21" s="49"/>
      <c r="F21" s="49"/>
      <c r="G21" s="49"/>
      <c r="H21" s="49" t="str">
        <f aca="false">IF(F21&gt;0,G21/F21,"")</f>
        <v/>
      </c>
    </row>
    <row r="22" customFormat="false" ht="15" hidden="false" customHeight="true" outlineLevel="0" collapsed="false">
      <c r="A22" s="68"/>
      <c r="B22" s="68"/>
      <c r="C22" s="68"/>
      <c r="D22" s="68"/>
      <c r="E22" s="47"/>
      <c r="F22" s="47"/>
      <c r="G22" s="47"/>
      <c r="H22" s="47" t="str">
        <f aca="false">IF(F22&gt;0,G22/F22,"")</f>
        <v/>
      </c>
    </row>
    <row r="23" customFormat="false" ht="15" hidden="false" customHeight="true" outlineLevel="0" collapsed="false">
      <c r="A23" s="70"/>
      <c r="B23" s="70"/>
      <c r="C23" s="70"/>
      <c r="D23" s="70"/>
      <c r="E23" s="49"/>
      <c r="F23" s="49"/>
      <c r="G23" s="49"/>
      <c r="H23" s="49" t="str">
        <f aca="false">IF(F23&gt;0,G23/F23,"")</f>
        <v/>
      </c>
    </row>
    <row r="24" customFormat="false" ht="15" hidden="false" customHeight="true" outlineLevel="0" collapsed="false">
      <c r="A24" s="68"/>
      <c r="B24" s="68"/>
      <c r="C24" s="68"/>
      <c r="D24" s="68"/>
      <c r="E24" s="47"/>
      <c r="F24" s="47"/>
      <c r="G24" s="47"/>
      <c r="H24" s="47" t="str">
        <f aca="false">IF(F24&gt;0,G24/F24,"")</f>
        <v/>
      </c>
    </row>
    <row r="25" customFormat="false" ht="15" hidden="false" customHeight="true" outlineLevel="0" collapsed="false">
      <c r="A25" s="70"/>
      <c r="B25" s="70"/>
      <c r="C25" s="70"/>
      <c r="D25" s="70"/>
      <c r="E25" s="49"/>
      <c r="F25" s="49"/>
      <c r="G25" s="49"/>
      <c r="H25" s="49" t="str">
        <f aca="false">IF(F25&gt;0,G25/F25,"")</f>
        <v/>
      </c>
    </row>
    <row r="26" customFormat="false" ht="15" hidden="false" customHeight="true" outlineLevel="0" collapsed="false">
      <c r="A26" s="68"/>
      <c r="B26" s="68"/>
      <c r="C26" s="68"/>
      <c r="D26" s="68"/>
      <c r="E26" s="47"/>
      <c r="F26" s="47"/>
      <c r="G26" s="47"/>
      <c r="H26" s="47" t="str">
        <f aca="false">IF(F26&gt;0,G26/F26,"")</f>
        <v/>
      </c>
    </row>
    <row r="27" customFormat="false" ht="15" hidden="false" customHeight="true" outlineLevel="0" collapsed="false">
      <c r="A27" s="70"/>
      <c r="B27" s="70"/>
      <c r="C27" s="70"/>
      <c r="D27" s="70"/>
      <c r="E27" s="49"/>
      <c r="F27" s="49"/>
      <c r="G27" s="49"/>
      <c r="H27" s="49" t="str">
        <f aca="false">IF(F27&gt;0,G27/F27,"")</f>
        <v/>
      </c>
    </row>
    <row r="28" customFormat="false" ht="15" hidden="false" customHeight="true" outlineLevel="0" collapsed="false">
      <c r="A28" s="68"/>
      <c r="B28" s="68"/>
      <c r="C28" s="68"/>
      <c r="D28" s="68"/>
      <c r="E28" s="47"/>
      <c r="F28" s="47"/>
      <c r="G28" s="47"/>
      <c r="H28" s="47" t="str">
        <f aca="false">IF(F28&gt;0,G28/F28,"")</f>
        <v/>
      </c>
    </row>
    <row r="29" customFormat="false" ht="15" hidden="false" customHeight="true" outlineLevel="0" collapsed="false">
      <c r="A29" s="70"/>
      <c r="B29" s="70"/>
      <c r="C29" s="70"/>
      <c r="D29" s="70"/>
      <c r="E29" s="49"/>
      <c r="F29" s="49"/>
      <c r="G29" s="49"/>
      <c r="H29" s="49" t="str">
        <f aca="false">IF(F29&gt;0,G29/F29,"")</f>
        <v/>
      </c>
    </row>
    <row r="30" customFormat="false" ht="15" hidden="false" customHeight="true" outlineLevel="0" collapsed="false">
      <c r="A30" s="68"/>
      <c r="B30" s="68"/>
      <c r="C30" s="68"/>
      <c r="D30" s="68"/>
      <c r="E30" s="47"/>
      <c r="F30" s="47"/>
      <c r="G30" s="47"/>
      <c r="H30" s="47" t="str">
        <f aca="false">IF(F30&gt;0,G30/F30,"")</f>
        <v/>
      </c>
    </row>
    <row r="31" customFormat="false" ht="15" hidden="false" customHeight="true" outlineLevel="0" collapsed="false">
      <c r="A31" s="70"/>
      <c r="B31" s="70"/>
      <c r="C31" s="70"/>
      <c r="D31" s="70"/>
      <c r="E31" s="49"/>
      <c r="F31" s="49"/>
      <c r="G31" s="49"/>
      <c r="H31" s="49" t="str">
        <f aca="false">IF(F31&gt;0,G31/F31,"")</f>
        <v/>
      </c>
    </row>
    <row r="32" customFormat="false" ht="15" hidden="false" customHeight="true" outlineLevel="0" collapsed="false">
      <c r="A32" s="68"/>
      <c r="B32" s="68"/>
      <c r="C32" s="68"/>
      <c r="D32" s="68"/>
      <c r="E32" s="47"/>
      <c r="F32" s="47"/>
      <c r="G32" s="47"/>
      <c r="H32" s="47" t="str">
        <f aca="false">IF(F32&gt;0,G32/F32,"")</f>
        <v/>
      </c>
    </row>
    <row r="33" customFormat="false" ht="15" hidden="false" customHeight="true" outlineLevel="0" collapsed="false">
      <c r="A33" s="70"/>
      <c r="B33" s="70"/>
      <c r="C33" s="70"/>
      <c r="D33" s="70"/>
      <c r="E33" s="49"/>
      <c r="F33" s="49"/>
      <c r="G33" s="49"/>
      <c r="H33" s="49" t="str">
        <f aca="false">IF(F33&gt;0,G33/F33,"")</f>
        <v/>
      </c>
    </row>
    <row r="34" customFormat="false" ht="15" hidden="false" customHeight="true" outlineLevel="0" collapsed="false">
      <c r="A34" s="68"/>
      <c r="B34" s="68"/>
      <c r="C34" s="68"/>
      <c r="D34" s="68"/>
      <c r="E34" s="47"/>
      <c r="F34" s="47"/>
      <c r="G34" s="47"/>
      <c r="H34" s="47" t="str">
        <f aca="false">IF(F34&gt;0,G34/F34,"")</f>
        <v/>
      </c>
    </row>
    <row r="35" customFormat="false" ht="15" hidden="false" customHeight="true" outlineLevel="0" collapsed="false">
      <c r="A35" s="70"/>
      <c r="B35" s="70"/>
      <c r="C35" s="70"/>
      <c r="D35" s="70"/>
      <c r="E35" s="49"/>
      <c r="F35" s="49"/>
      <c r="G35" s="49"/>
      <c r="H35" s="49" t="str">
        <f aca="false">IF(F35&gt;0,G35/F35,"")</f>
        <v/>
      </c>
    </row>
    <row r="36" customFormat="false" ht="15" hidden="false" customHeight="true" outlineLevel="0" collapsed="false">
      <c r="A36" s="68"/>
      <c r="B36" s="68"/>
      <c r="C36" s="68"/>
      <c r="D36" s="68"/>
      <c r="E36" s="47"/>
      <c r="F36" s="47"/>
      <c r="G36" s="47"/>
      <c r="H36" s="47" t="str">
        <f aca="false">IF(F36&gt;0,G36/F36,"")</f>
        <v/>
      </c>
    </row>
    <row r="37" customFormat="false" ht="15" hidden="false" customHeight="true" outlineLevel="0" collapsed="false">
      <c r="A37" s="70"/>
      <c r="B37" s="70"/>
      <c r="C37" s="70"/>
      <c r="D37" s="70"/>
      <c r="E37" s="49"/>
      <c r="F37" s="49"/>
      <c r="G37" s="49"/>
      <c r="H37" s="49" t="str">
        <f aca="false">IF(F37&gt;0,G37/F37,"")</f>
        <v/>
      </c>
    </row>
    <row r="38" customFormat="false" ht="15" hidden="false" customHeight="true" outlineLevel="0" collapsed="false">
      <c r="A38" s="68"/>
      <c r="B38" s="68"/>
      <c r="C38" s="68"/>
      <c r="D38" s="68"/>
      <c r="E38" s="47"/>
      <c r="F38" s="47"/>
      <c r="G38" s="47"/>
      <c r="H38" s="47" t="str">
        <f aca="false">IF(F38&gt;0,G38/F38,"")</f>
        <v/>
      </c>
    </row>
    <row r="39" customFormat="false" ht="15" hidden="false" customHeight="true" outlineLevel="0" collapsed="false">
      <c r="A39" s="70"/>
      <c r="B39" s="70"/>
      <c r="C39" s="70"/>
      <c r="D39" s="70"/>
      <c r="E39" s="49"/>
      <c r="F39" s="49"/>
      <c r="G39" s="49"/>
      <c r="H39" s="49" t="str">
        <f aca="false">IF(F39&gt;0,G39/F39,"")</f>
        <v/>
      </c>
    </row>
    <row r="40" customFormat="false" ht="15" hidden="false" customHeight="true" outlineLevel="0" collapsed="false">
      <c r="A40" s="68"/>
      <c r="B40" s="68"/>
      <c r="C40" s="68"/>
      <c r="D40" s="68"/>
      <c r="E40" s="47"/>
      <c r="F40" s="47"/>
      <c r="G40" s="47"/>
      <c r="H40" s="47" t="str">
        <f aca="false">IF(F40&gt;0,G40/F40,"")</f>
        <v/>
      </c>
    </row>
    <row r="41" customFormat="false" ht="15" hidden="false" customHeight="true" outlineLevel="0" collapsed="false">
      <c r="A41" s="70"/>
      <c r="B41" s="70"/>
      <c r="C41" s="70"/>
      <c r="D41" s="70"/>
      <c r="E41" s="49"/>
      <c r="F41" s="49"/>
      <c r="G41" s="49"/>
      <c r="H41" s="49" t="str">
        <f aca="false">IF(F41&gt;0,G41/F41,"")</f>
        <v/>
      </c>
    </row>
    <row r="42" customFormat="false" ht="15" hidden="false" customHeight="true" outlineLevel="0" collapsed="false">
      <c r="A42" s="68"/>
      <c r="B42" s="68"/>
      <c r="C42" s="68"/>
      <c r="D42" s="68"/>
      <c r="E42" s="47"/>
      <c r="F42" s="47"/>
      <c r="G42" s="47"/>
      <c r="H42" s="47" t="str">
        <f aca="false">IF(F42&gt;0,G42/F42,"")</f>
        <v/>
      </c>
    </row>
    <row r="43" customFormat="false" ht="15" hidden="false" customHeight="true" outlineLevel="0" collapsed="false">
      <c r="A43" s="70"/>
      <c r="B43" s="70"/>
      <c r="C43" s="70"/>
      <c r="D43" s="70"/>
      <c r="E43" s="49"/>
      <c r="F43" s="49"/>
      <c r="G43" s="49"/>
      <c r="H43" s="49" t="str">
        <f aca="false">IF(F43&gt;0,G43/F43,"")</f>
        <v/>
      </c>
    </row>
    <row r="44" customFormat="false" ht="15" hidden="false" customHeight="true" outlineLevel="0" collapsed="false">
      <c r="A44" s="68"/>
      <c r="B44" s="68"/>
      <c r="C44" s="68"/>
      <c r="D44" s="68"/>
      <c r="E44" s="47"/>
      <c r="F44" s="47"/>
      <c r="G44" s="47"/>
      <c r="H44" s="47" t="str">
        <f aca="false">IF(F44&gt;0,G44/F44,"")</f>
        <v/>
      </c>
    </row>
    <row r="45" customFormat="false" ht="15" hidden="false" customHeight="true" outlineLevel="0" collapsed="false">
      <c r="A45" s="70"/>
      <c r="B45" s="70"/>
      <c r="C45" s="70"/>
      <c r="D45" s="70"/>
      <c r="E45" s="49"/>
      <c r="F45" s="49"/>
      <c r="G45" s="49"/>
      <c r="H45" s="49" t="str">
        <f aca="false">IF(F45&gt;0,G45/F45,"")</f>
        <v/>
      </c>
    </row>
    <row r="46" customFormat="false" ht="15" hidden="false" customHeight="true" outlineLevel="0" collapsed="false">
      <c r="A46" s="68"/>
      <c r="B46" s="68"/>
      <c r="C46" s="68"/>
      <c r="D46" s="68"/>
      <c r="E46" s="47"/>
      <c r="F46" s="47"/>
      <c r="G46" s="47"/>
      <c r="H46" s="47" t="str">
        <f aca="false">IF(F46&gt;0,G46/F46,"")</f>
        <v/>
      </c>
    </row>
    <row r="47" customFormat="false" ht="15" hidden="false" customHeight="true" outlineLevel="0" collapsed="false">
      <c r="A47" s="70"/>
      <c r="B47" s="70"/>
      <c r="C47" s="70"/>
      <c r="D47" s="70"/>
      <c r="E47" s="49"/>
      <c r="F47" s="49"/>
      <c r="G47" s="49"/>
      <c r="H47" s="49" t="str">
        <f aca="false">IF(F47&gt;0,G47/F47,"")</f>
        <v/>
      </c>
    </row>
    <row r="48" customFormat="false" ht="15" hidden="false" customHeight="true" outlineLevel="0" collapsed="false">
      <c r="A48" s="68"/>
      <c r="B48" s="68"/>
      <c r="C48" s="68"/>
      <c r="D48" s="68"/>
      <c r="E48" s="47"/>
      <c r="F48" s="47"/>
      <c r="G48" s="47"/>
      <c r="H48" s="47" t="str">
        <f aca="false">IF(F48&gt;0,G48/F48,"")</f>
        <v/>
      </c>
    </row>
    <row r="49" customFormat="false" ht="15" hidden="false" customHeight="true" outlineLevel="0" collapsed="false">
      <c r="A49" s="70"/>
      <c r="B49" s="70"/>
      <c r="C49" s="70"/>
      <c r="D49" s="70"/>
      <c r="E49" s="49"/>
      <c r="F49" s="49"/>
      <c r="G49" s="49"/>
      <c r="H49" s="49" t="str">
        <f aca="false">IF(F49&gt;0,G49/F49,"")</f>
        <v/>
      </c>
    </row>
    <row r="50" customFormat="false" ht="15" hidden="false" customHeight="true" outlineLevel="0" collapsed="false">
      <c r="A50" s="68"/>
      <c r="B50" s="68"/>
      <c r="C50" s="68"/>
      <c r="D50" s="68"/>
      <c r="E50" s="47"/>
      <c r="F50" s="47"/>
      <c r="G50" s="47"/>
      <c r="H50" s="47" t="str">
        <f aca="false">IF(F50&gt;0,G50/F50,"")</f>
        <v/>
      </c>
    </row>
    <row r="51" customFormat="false" ht="15" hidden="false" customHeight="true" outlineLevel="0" collapsed="false">
      <c r="A51" s="70"/>
      <c r="B51" s="70"/>
      <c r="C51" s="70"/>
      <c r="D51" s="70"/>
      <c r="E51" s="49"/>
      <c r="F51" s="49"/>
      <c r="G51" s="49"/>
      <c r="H51" s="49" t="str">
        <f aca="false">IF(F51&gt;0,G51/F51,"")</f>
        <v/>
      </c>
    </row>
    <row r="52" customFormat="false" ht="15" hidden="false" customHeight="true" outlineLevel="0" collapsed="false">
      <c r="A52" s="68"/>
      <c r="B52" s="68"/>
      <c r="C52" s="68"/>
      <c r="D52" s="68"/>
      <c r="E52" s="47"/>
      <c r="F52" s="47"/>
      <c r="G52" s="47"/>
      <c r="H52" s="47" t="str">
        <f aca="false">IF(F52&gt;0,G52/F52,"")</f>
        <v/>
      </c>
    </row>
    <row r="53" customFormat="false" ht="15" hidden="false" customHeight="true" outlineLevel="0" collapsed="false">
      <c r="A53" s="70"/>
      <c r="B53" s="70"/>
      <c r="C53" s="70"/>
      <c r="D53" s="70"/>
      <c r="E53" s="49"/>
      <c r="F53" s="49"/>
      <c r="G53" s="49"/>
      <c r="H53" s="49" t="str">
        <f aca="false">IF(F53&gt;0,G53/F53,"")</f>
        <v/>
      </c>
    </row>
    <row r="54" customFormat="false" ht="15" hidden="false" customHeight="true" outlineLevel="0" collapsed="false">
      <c r="A54" s="68"/>
      <c r="B54" s="68"/>
      <c r="C54" s="68"/>
      <c r="D54" s="68"/>
      <c r="E54" s="47"/>
      <c r="F54" s="47"/>
      <c r="G54" s="47"/>
      <c r="H54" s="47" t="str">
        <f aca="false">IF(F54&gt;0,G54/F54,"")</f>
        <v/>
      </c>
    </row>
    <row r="55" customFormat="false" ht="15" hidden="false" customHeight="true" outlineLevel="0" collapsed="false">
      <c r="A55" s="70"/>
      <c r="B55" s="70"/>
      <c r="C55" s="70"/>
      <c r="D55" s="70"/>
      <c r="E55" s="49"/>
      <c r="F55" s="49"/>
      <c r="G55" s="49"/>
      <c r="H55" s="49" t="str">
        <f aca="false">IF(F55&gt;0,G55/F55,"")</f>
        <v/>
      </c>
    </row>
    <row r="56" customFormat="false" ht="15" hidden="false" customHeight="true" outlineLevel="0" collapsed="false">
      <c r="A56" s="68"/>
      <c r="B56" s="68"/>
      <c r="C56" s="68"/>
      <c r="D56" s="68"/>
      <c r="E56" s="47"/>
      <c r="F56" s="47"/>
      <c r="G56" s="47"/>
      <c r="H56" s="47" t="str">
        <f aca="false">IF(F56&gt;0,G56/F56,"")</f>
        <v/>
      </c>
    </row>
    <row r="57" customFormat="false" ht="15" hidden="false" customHeight="true" outlineLevel="0" collapsed="false">
      <c r="A57" s="70"/>
      <c r="B57" s="70"/>
      <c r="C57" s="70"/>
      <c r="D57" s="70"/>
      <c r="E57" s="49"/>
      <c r="F57" s="49"/>
      <c r="G57" s="49"/>
      <c r="H57" s="49" t="str">
        <f aca="false">IF(F57&gt;0,G57/F57,"")</f>
        <v/>
      </c>
    </row>
    <row r="58" customFormat="false" ht="15" hidden="false" customHeight="true" outlineLevel="0" collapsed="false">
      <c r="A58" s="68"/>
      <c r="B58" s="68"/>
      <c r="C58" s="68"/>
      <c r="D58" s="68"/>
      <c r="E58" s="47"/>
      <c r="F58" s="47"/>
      <c r="G58" s="47"/>
      <c r="H58" s="47" t="str">
        <f aca="false">IF(F58&gt;0,G58/F58,"")</f>
        <v/>
      </c>
    </row>
    <row r="59" customFormat="false" ht="15" hidden="false" customHeight="true" outlineLevel="0" collapsed="false">
      <c r="A59" s="70"/>
      <c r="B59" s="70"/>
      <c r="C59" s="70"/>
      <c r="D59" s="70"/>
      <c r="E59" s="49"/>
      <c r="F59" s="49"/>
      <c r="G59" s="49"/>
      <c r="H59" s="49" t="str">
        <f aca="false">IF(F59&gt;0,G59/F59,"")</f>
        <v/>
      </c>
    </row>
    <row r="60" customFormat="false" ht="15" hidden="false" customHeight="true" outlineLevel="0" collapsed="false">
      <c r="A60" s="68"/>
      <c r="B60" s="68"/>
      <c r="C60" s="68"/>
      <c r="D60" s="68"/>
      <c r="E60" s="47"/>
      <c r="F60" s="47"/>
      <c r="G60" s="47"/>
      <c r="H60" s="47" t="str">
        <f aca="false">IF(F60&gt;0,G60/F60,"")</f>
        <v/>
      </c>
    </row>
    <row r="61" customFormat="false" ht="15" hidden="false" customHeight="true" outlineLevel="0" collapsed="false">
      <c r="A61" s="70"/>
      <c r="B61" s="70"/>
      <c r="C61" s="70"/>
      <c r="D61" s="70"/>
      <c r="E61" s="49"/>
      <c r="F61" s="49"/>
      <c r="G61" s="49"/>
      <c r="H61" s="49" t="str">
        <f aca="false">IF(F61&gt;0,G61/F61,"")</f>
        <v/>
      </c>
    </row>
    <row r="62" customFormat="false" ht="15" hidden="false" customHeight="true" outlineLevel="0" collapsed="false">
      <c r="A62" s="68"/>
      <c r="B62" s="68"/>
      <c r="C62" s="68"/>
      <c r="D62" s="68"/>
      <c r="E62" s="47"/>
      <c r="F62" s="47"/>
      <c r="G62" s="47"/>
      <c r="H62" s="47" t="str">
        <f aca="false">IF(F62&gt;0,G62/F62,"")</f>
        <v/>
      </c>
    </row>
    <row r="63" customFormat="false" ht="15" hidden="false" customHeight="true" outlineLevel="0" collapsed="false">
      <c r="A63" s="70"/>
      <c r="B63" s="70"/>
      <c r="C63" s="70"/>
      <c r="D63" s="70"/>
      <c r="E63" s="49"/>
      <c r="F63" s="49"/>
      <c r="G63" s="49"/>
      <c r="H63" s="49" t="str">
        <f aca="false">IF(F63&gt;0,G63/F63,"")</f>
        <v/>
      </c>
    </row>
    <row r="64" customFormat="false" ht="15" hidden="false" customHeight="true" outlineLevel="0" collapsed="false">
      <c r="A64" s="68"/>
      <c r="B64" s="68"/>
      <c r="C64" s="68"/>
      <c r="D64" s="68"/>
      <c r="E64" s="47"/>
      <c r="F64" s="47"/>
      <c r="G64" s="47"/>
      <c r="H64" s="47" t="str">
        <f aca="false">IF(F64&gt;0,G64/F64,"")</f>
        <v/>
      </c>
    </row>
    <row r="65" customFormat="false" ht="15" hidden="false" customHeight="true" outlineLevel="0" collapsed="false">
      <c r="A65" s="70"/>
      <c r="B65" s="70"/>
      <c r="C65" s="70"/>
      <c r="D65" s="70"/>
      <c r="E65" s="49"/>
      <c r="F65" s="49"/>
      <c r="G65" s="49"/>
      <c r="H65" s="49" t="str">
        <f aca="false">IF(F65&gt;0,G65/F65,"")</f>
        <v/>
      </c>
    </row>
    <row r="66" customFormat="false" ht="15" hidden="false" customHeight="true" outlineLevel="0" collapsed="false">
      <c r="A66" s="68"/>
      <c r="B66" s="68"/>
      <c r="C66" s="68"/>
      <c r="D66" s="68"/>
      <c r="E66" s="47"/>
      <c r="F66" s="47"/>
      <c r="G66" s="47"/>
      <c r="H66" s="47" t="str">
        <f aca="false">IF(F66&gt;0,G66/F66,"")</f>
        <v/>
      </c>
    </row>
    <row r="67" customFormat="false" ht="15" hidden="false" customHeight="true" outlineLevel="0" collapsed="false">
      <c r="A67" s="70"/>
      <c r="B67" s="70"/>
      <c r="C67" s="70"/>
      <c r="D67" s="70"/>
      <c r="E67" s="49"/>
      <c r="F67" s="49"/>
      <c r="G67" s="49"/>
      <c r="H67" s="49" t="str">
        <f aca="false">IF(F67&gt;0,G67/F67,"")</f>
        <v/>
      </c>
    </row>
    <row r="68" customFormat="false" ht="15" hidden="false" customHeight="true" outlineLevel="0" collapsed="false">
      <c r="A68" s="68"/>
      <c r="B68" s="68"/>
      <c r="C68" s="68"/>
      <c r="D68" s="68"/>
      <c r="E68" s="47"/>
      <c r="F68" s="47"/>
      <c r="G68" s="47"/>
      <c r="H68" s="47" t="str">
        <f aca="false">IF(F68&gt;0,G68/F68,"")</f>
        <v/>
      </c>
    </row>
    <row r="69" customFormat="false" ht="15" hidden="false" customHeight="true" outlineLevel="0" collapsed="false">
      <c r="A69" s="70"/>
      <c r="B69" s="70"/>
      <c r="C69" s="70"/>
      <c r="D69" s="70"/>
      <c r="E69" s="49"/>
      <c r="F69" s="49"/>
      <c r="G69" s="49"/>
      <c r="H69" s="49" t="str">
        <f aca="false">IF(F69&gt;0,G69/F69,"")</f>
        <v/>
      </c>
    </row>
    <row r="70" customFormat="false" ht="15" hidden="false" customHeight="true" outlineLevel="0" collapsed="false">
      <c r="A70" s="68"/>
      <c r="B70" s="68"/>
      <c r="C70" s="68"/>
      <c r="D70" s="68"/>
      <c r="E70" s="47"/>
      <c r="F70" s="47"/>
      <c r="G70" s="47"/>
      <c r="H70" s="47" t="str">
        <f aca="false">IF(F70&gt;0,G70/F70,"")</f>
        <v/>
      </c>
    </row>
    <row r="71" customFormat="false" ht="15" hidden="false" customHeight="true" outlineLevel="0" collapsed="false">
      <c r="A71" s="70"/>
      <c r="B71" s="70"/>
      <c r="C71" s="70"/>
      <c r="D71" s="70"/>
      <c r="E71" s="49"/>
      <c r="F71" s="49"/>
      <c r="G71" s="49"/>
      <c r="H71" s="49" t="str">
        <f aca="false">IF(F71&gt;0,G71/F71,"")</f>
        <v/>
      </c>
    </row>
    <row r="72" customFormat="false" ht="15" hidden="false" customHeight="true" outlineLevel="0" collapsed="false">
      <c r="A72" s="68"/>
      <c r="B72" s="68"/>
      <c r="C72" s="68"/>
      <c r="D72" s="68"/>
      <c r="E72" s="47"/>
      <c r="F72" s="47"/>
      <c r="G72" s="47"/>
      <c r="H72" s="47" t="str">
        <f aca="false">IF(F72&gt;0,G72/F72,"")</f>
        <v/>
      </c>
    </row>
    <row r="73" customFormat="false" ht="15" hidden="false" customHeight="true" outlineLevel="0" collapsed="false">
      <c r="A73" s="70"/>
      <c r="B73" s="70"/>
      <c r="C73" s="70"/>
      <c r="D73" s="70"/>
      <c r="E73" s="49"/>
      <c r="F73" s="49"/>
      <c r="G73" s="49"/>
      <c r="H73" s="49" t="str">
        <f aca="false">IF(F73&gt;0,G73/F73,"")</f>
        <v/>
      </c>
    </row>
    <row r="74" customFormat="false" ht="15" hidden="false" customHeight="true" outlineLevel="0" collapsed="false">
      <c r="A74" s="68"/>
      <c r="B74" s="68"/>
      <c r="C74" s="68"/>
      <c r="D74" s="68"/>
      <c r="E74" s="47"/>
      <c r="F74" s="47"/>
      <c r="G74" s="47"/>
      <c r="H74" s="47" t="str">
        <f aca="false">IF(F74&gt;0,G74/F74,"")</f>
        <v/>
      </c>
    </row>
    <row r="75" customFormat="false" ht="15" hidden="false" customHeight="true" outlineLevel="0" collapsed="false">
      <c r="A75" s="70"/>
      <c r="B75" s="70"/>
      <c r="C75" s="70"/>
      <c r="D75" s="70"/>
      <c r="E75" s="49"/>
      <c r="F75" s="49"/>
      <c r="G75" s="49"/>
      <c r="H75" s="49" t="str">
        <f aca="false">IF(F75&gt;0,G75/F75,"")</f>
        <v/>
      </c>
    </row>
    <row r="76" customFormat="false" ht="15" hidden="false" customHeight="true" outlineLevel="0" collapsed="false">
      <c r="A76" s="68"/>
      <c r="B76" s="68"/>
      <c r="C76" s="68"/>
      <c r="D76" s="68"/>
      <c r="E76" s="47"/>
      <c r="F76" s="47"/>
      <c r="G76" s="47"/>
      <c r="H76" s="47" t="str">
        <f aca="false">IF(F76&gt;0,G76/F76,"")</f>
        <v/>
      </c>
    </row>
    <row r="77" customFormat="false" ht="15" hidden="false" customHeight="true" outlineLevel="0" collapsed="false">
      <c r="A77" s="70"/>
      <c r="B77" s="70"/>
      <c r="C77" s="70"/>
      <c r="D77" s="70"/>
      <c r="E77" s="49"/>
      <c r="F77" s="49"/>
      <c r="G77" s="49"/>
      <c r="H77" s="49" t="str">
        <f aca="false">IF(F77&gt;0,G77/F77,"")</f>
        <v/>
      </c>
    </row>
    <row r="78" customFormat="false" ht="15" hidden="false" customHeight="true" outlineLevel="0" collapsed="false">
      <c r="A78" s="68"/>
      <c r="B78" s="68"/>
      <c r="C78" s="68"/>
      <c r="D78" s="68"/>
      <c r="E78" s="47"/>
      <c r="F78" s="47"/>
      <c r="G78" s="47"/>
      <c r="H78" s="47" t="str">
        <f aca="false">IF(F78&gt;0,G78/F78,"")</f>
        <v/>
      </c>
    </row>
    <row r="79" customFormat="false" ht="15" hidden="false" customHeight="true" outlineLevel="0" collapsed="false">
      <c r="A79" s="70"/>
      <c r="B79" s="70"/>
      <c r="C79" s="70"/>
      <c r="D79" s="70"/>
      <c r="E79" s="49"/>
      <c r="F79" s="49"/>
      <c r="G79" s="49"/>
      <c r="H79" s="49" t="str">
        <f aca="false">IF(F79&gt;0,G79/F79,"")</f>
        <v/>
      </c>
    </row>
    <row r="80" customFormat="false" ht="15" hidden="false" customHeight="true" outlineLevel="0" collapsed="false">
      <c r="A80" s="68"/>
      <c r="B80" s="68"/>
      <c r="C80" s="68"/>
      <c r="D80" s="68"/>
      <c r="E80" s="47"/>
      <c r="F80" s="47"/>
      <c r="G80" s="47"/>
      <c r="H80" s="47" t="str">
        <f aca="false">IF(F80&gt;0,G80/F80,"")</f>
        <v/>
      </c>
    </row>
    <row r="81" customFormat="false" ht="15" hidden="false" customHeight="true" outlineLevel="0" collapsed="false">
      <c r="A81" s="70"/>
      <c r="B81" s="70"/>
      <c r="C81" s="70"/>
      <c r="D81" s="70"/>
      <c r="E81" s="49"/>
      <c r="F81" s="49"/>
      <c r="G81" s="49"/>
      <c r="H81" s="49" t="str">
        <f aca="false">IF(F81&gt;0,G81/F81,"")</f>
        <v/>
      </c>
    </row>
    <row r="82" customFormat="false" ht="15" hidden="false" customHeight="true" outlineLevel="0" collapsed="false">
      <c r="A82" s="68"/>
      <c r="B82" s="68"/>
      <c r="C82" s="68"/>
      <c r="D82" s="68"/>
      <c r="E82" s="47"/>
      <c r="F82" s="47"/>
      <c r="G82" s="47"/>
      <c r="H82" s="47" t="str">
        <f aca="false">IF(F82&gt;0,G82/F82,"")</f>
        <v/>
      </c>
    </row>
    <row r="83" customFormat="false" ht="15" hidden="false" customHeight="true" outlineLevel="0" collapsed="false">
      <c r="A83" s="70"/>
      <c r="B83" s="70"/>
      <c r="C83" s="70"/>
      <c r="D83" s="70"/>
      <c r="E83" s="49"/>
      <c r="F83" s="49"/>
      <c r="G83" s="49"/>
      <c r="H83" s="49" t="str">
        <f aca="false">IF(F83&gt;0,G83/F83,"")</f>
        <v/>
      </c>
    </row>
    <row r="84" customFormat="false" ht="15" hidden="false" customHeight="true" outlineLevel="0" collapsed="false">
      <c r="A84" s="68"/>
      <c r="B84" s="68"/>
      <c r="C84" s="68"/>
      <c r="D84" s="68"/>
      <c r="E84" s="47"/>
      <c r="F84" s="47"/>
      <c r="G84" s="47"/>
      <c r="H84" s="47" t="str">
        <f aca="false">IF(F84&gt;0,G84/F84,"")</f>
        <v/>
      </c>
    </row>
    <row r="85" customFormat="false" ht="15" hidden="false" customHeight="true" outlineLevel="0" collapsed="false">
      <c r="A85" s="70"/>
      <c r="B85" s="70"/>
      <c r="C85" s="70"/>
      <c r="D85" s="70"/>
      <c r="E85" s="49"/>
      <c r="F85" s="49"/>
      <c r="G85" s="49"/>
      <c r="H85" s="49" t="str">
        <f aca="false">IF(F85&gt;0,G85/F85,"")</f>
        <v/>
      </c>
    </row>
    <row r="86" customFormat="false" ht="15" hidden="false" customHeight="true" outlineLevel="0" collapsed="false">
      <c r="A86" s="68"/>
      <c r="B86" s="68"/>
      <c r="C86" s="68"/>
      <c r="D86" s="68"/>
      <c r="E86" s="47"/>
      <c r="F86" s="47"/>
      <c r="G86" s="47"/>
      <c r="H86" s="47" t="str">
        <f aca="false">IF(F86&gt;0,G86/F86,"")</f>
        <v/>
      </c>
    </row>
    <row r="87" customFormat="false" ht="15" hidden="false" customHeight="true" outlineLevel="0" collapsed="false">
      <c r="A87" s="70"/>
      <c r="B87" s="70"/>
      <c r="C87" s="70"/>
      <c r="D87" s="70"/>
      <c r="E87" s="49"/>
      <c r="F87" s="49"/>
      <c r="G87" s="49"/>
      <c r="H87" s="49" t="str">
        <f aca="false">IF(F87&gt;0,G87/F87,"")</f>
        <v/>
      </c>
    </row>
    <row r="88" customFormat="false" ht="15" hidden="false" customHeight="true" outlineLevel="0" collapsed="false">
      <c r="A88" s="68"/>
      <c r="B88" s="68"/>
      <c r="C88" s="68"/>
      <c r="D88" s="68"/>
      <c r="E88" s="47"/>
      <c r="F88" s="47"/>
      <c r="G88" s="47"/>
      <c r="H88" s="47" t="str">
        <f aca="false">IF(F88&gt;0,G88/F88,"")</f>
        <v/>
      </c>
    </row>
    <row r="89" customFormat="false" ht="15" hidden="false" customHeight="true" outlineLevel="0" collapsed="false">
      <c r="A89" s="70"/>
      <c r="B89" s="70"/>
      <c r="C89" s="70"/>
      <c r="D89" s="70"/>
      <c r="E89" s="49"/>
      <c r="F89" s="49"/>
      <c r="G89" s="49"/>
      <c r="H89" s="49" t="str">
        <f aca="false">IF(F89&gt;0,G89/F89,"")</f>
        <v/>
      </c>
    </row>
    <row r="90" customFormat="false" ht="15" hidden="false" customHeight="true" outlineLevel="0" collapsed="false">
      <c r="A90" s="68"/>
      <c r="B90" s="68"/>
      <c r="C90" s="68"/>
      <c r="D90" s="68"/>
      <c r="E90" s="47"/>
      <c r="F90" s="47"/>
      <c r="G90" s="47"/>
      <c r="H90" s="47" t="str">
        <f aca="false">IF(F90&gt;0,G90/F90,"")</f>
        <v/>
      </c>
    </row>
    <row r="91" customFormat="false" ht="15" hidden="false" customHeight="true" outlineLevel="0" collapsed="false">
      <c r="A91" s="70"/>
      <c r="B91" s="70"/>
      <c r="C91" s="70"/>
      <c r="D91" s="70"/>
      <c r="E91" s="49"/>
      <c r="F91" s="49"/>
      <c r="G91" s="49"/>
      <c r="H91" s="49" t="str">
        <f aca="false">IF(F91&gt;0,G91/F91,"")</f>
        <v/>
      </c>
    </row>
    <row r="92" customFormat="false" ht="15" hidden="false" customHeight="true" outlineLevel="0" collapsed="false">
      <c r="A92" s="68"/>
      <c r="B92" s="68"/>
      <c r="C92" s="68"/>
      <c r="D92" s="68"/>
      <c r="E92" s="47"/>
      <c r="F92" s="47"/>
      <c r="G92" s="47"/>
      <c r="H92" s="47" t="str">
        <f aca="false">IF(F92&gt;0,G92/F92,"")</f>
        <v/>
      </c>
    </row>
    <row r="93" customFormat="false" ht="15" hidden="false" customHeight="true" outlineLevel="0" collapsed="false">
      <c r="A93" s="70"/>
      <c r="B93" s="70"/>
      <c r="C93" s="70"/>
      <c r="D93" s="70"/>
      <c r="E93" s="49"/>
      <c r="F93" s="49"/>
      <c r="G93" s="49"/>
      <c r="H93" s="49" t="str">
        <f aca="false">IF(F93&gt;0,G93/F93,"")</f>
        <v/>
      </c>
    </row>
    <row r="94" customFormat="false" ht="15" hidden="false" customHeight="true" outlineLevel="0" collapsed="false">
      <c r="A94" s="68"/>
      <c r="B94" s="68"/>
      <c r="C94" s="68"/>
      <c r="D94" s="68"/>
      <c r="E94" s="47"/>
      <c r="F94" s="47"/>
      <c r="G94" s="47"/>
      <c r="H94" s="47" t="str">
        <f aca="false">IF(F94&gt;0,G94/F94,"")</f>
        <v/>
      </c>
    </row>
    <row r="95" customFormat="false" ht="15" hidden="false" customHeight="true" outlineLevel="0" collapsed="false">
      <c r="A95" s="70"/>
      <c r="B95" s="70"/>
      <c r="C95" s="70"/>
      <c r="D95" s="70"/>
      <c r="E95" s="49"/>
      <c r="F95" s="49"/>
      <c r="G95" s="49"/>
      <c r="H95" s="49" t="str">
        <f aca="false">IF(F95&gt;0,G95/F95,"")</f>
        <v/>
      </c>
    </row>
    <row r="96" customFormat="false" ht="15" hidden="false" customHeight="true" outlineLevel="0" collapsed="false">
      <c r="A96" s="68"/>
      <c r="B96" s="68"/>
      <c r="C96" s="68"/>
      <c r="D96" s="68"/>
      <c r="E96" s="47"/>
      <c r="F96" s="47"/>
      <c r="G96" s="47"/>
      <c r="H96" s="47" t="str">
        <f aca="false">IF(F96&gt;0,G96/F96,"")</f>
        <v/>
      </c>
    </row>
    <row r="97" customFormat="false" ht="15" hidden="false" customHeight="true" outlineLevel="0" collapsed="false">
      <c r="A97" s="70"/>
      <c r="B97" s="70"/>
      <c r="C97" s="70"/>
      <c r="D97" s="70"/>
      <c r="E97" s="49"/>
      <c r="F97" s="49"/>
      <c r="G97" s="49"/>
      <c r="H97" s="49" t="str">
        <f aca="false">IF(F97&gt;0,G97/F97,"")</f>
        <v/>
      </c>
    </row>
    <row r="98" customFormat="false" ht="15" hidden="false" customHeight="true" outlineLevel="0" collapsed="false">
      <c r="A98" s="68"/>
      <c r="B98" s="68"/>
      <c r="C98" s="68"/>
      <c r="D98" s="68"/>
      <c r="E98" s="47"/>
      <c r="F98" s="47"/>
      <c r="G98" s="47"/>
      <c r="H98" s="47" t="str">
        <f aca="false">IF(F98&gt;0,G98/F98,"")</f>
        <v/>
      </c>
    </row>
    <row r="99" customFormat="false" ht="15" hidden="false" customHeight="true" outlineLevel="0" collapsed="false">
      <c r="A99" s="70"/>
      <c r="B99" s="70"/>
      <c r="C99" s="70"/>
      <c r="D99" s="70"/>
      <c r="E99" s="49"/>
      <c r="F99" s="49"/>
      <c r="G99" s="49"/>
      <c r="H99" s="49" t="str">
        <f aca="false">IF(F99&gt;0,G99/F99,"")</f>
        <v/>
      </c>
    </row>
    <row r="100" customFormat="false" ht="15" hidden="false" customHeight="true" outlineLevel="0" collapsed="false">
      <c r="A100" s="68"/>
      <c r="B100" s="68"/>
      <c r="C100" s="68"/>
      <c r="D100" s="68"/>
      <c r="E100" s="47"/>
      <c r="F100" s="47"/>
      <c r="G100" s="47"/>
      <c r="H100" s="47" t="str">
        <f aca="false">IF(F100&gt;0,G100/F100,"")</f>
        <v/>
      </c>
    </row>
    <row r="101" customFormat="false" ht="15" hidden="false" customHeight="true" outlineLevel="0" collapsed="false">
      <c r="A101" s="70"/>
      <c r="B101" s="70"/>
      <c r="C101" s="70"/>
      <c r="D101" s="70"/>
      <c r="E101" s="49"/>
      <c r="F101" s="49"/>
      <c r="G101" s="49"/>
      <c r="H101" s="49" t="str">
        <f aca="false">IF(F101&gt;0,G101/F101,"")</f>
        <v/>
      </c>
    </row>
    <row r="102" customFormat="false" ht="15" hidden="false" customHeight="true" outlineLevel="0" collapsed="false">
      <c r="A102" s="68"/>
      <c r="B102" s="68"/>
      <c r="C102" s="68"/>
      <c r="D102" s="68"/>
      <c r="E102" s="47"/>
      <c r="F102" s="47"/>
      <c r="G102" s="47"/>
      <c r="H102" s="47" t="str">
        <f aca="false">IF(F102&gt;0,G102/F102,"")</f>
        <v/>
      </c>
    </row>
    <row r="103" customFormat="false" ht="15" hidden="false" customHeight="true" outlineLevel="0" collapsed="false">
      <c r="A103" s="70"/>
      <c r="B103" s="70"/>
      <c r="C103" s="70"/>
      <c r="D103" s="70"/>
      <c r="E103" s="49"/>
      <c r="F103" s="49"/>
      <c r="G103" s="49"/>
      <c r="H103" s="49" t="str">
        <f aca="false">IF(F103&gt;0,G103/F103,"")</f>
        <v/>
      </c>
    </row>
    <row r="104" customFormat="false" ht="15" hidden="false" customHeight="true" outlineLevel="0" collapsed="false">
      <c r="A104" s="68"/>
      <c r="B104" s="68"/>
      <c r="C104" s="68"/>
      <c r="D104" s="68"/>
      <c r="E104" s="47"/>
      <c r="F104" s="47"/>
      <c r="G104" s="47"/>
      <c r="H104" s="47" t="str">
        <f aca="false">IF(F104&gt;0,G104/F104,"")</f>
        <v/>
      </c>
    </row>
    <row r="105" customFormat="false" ht="15" hidden="false" customHeight="true" outlineLevel="0" collapsed="false">
      <c r="A105" s="70"/>
      <c r="B105" s="70"/>
      <c r="C105" s="70"/>
      <c r="D105" s="70"/>
      <c r="E105" s="49"/>
      <c r="F105" s="49"/>
      <c r="G105" s="49"/>
      <c r="H105" s="49" t="str">
        <f aca="false">IF(F105&gt;0,G105/F105,"")</f>
        <v/>
      </c>
    </row>
    <row r="106" customFormat="false" ht="15" hidden="false" customHeight="true" outlineLevel="0" collapsed="false">
      <c r="A106" s="68"/>
      <c r="B106" s="68"/>
      <c r="C106" s="68"/>
      <c r="D106" s="68"/>
      <c r="E106" s="47"/>
      <c r="F106" s="47"/>
      <c r="G106" s="47"/>
      <c r="H106" s="47" t="str">
        <f aca="false">IF(F106&gt;0,G106/F106,"")</f>
        <v/>
      </c>
    </row>
    <row r="107" customFormat="false" ht="15" hidden="false" customHeight="true" outlineLevel="0" collapsed="false">
      <c r="A107" s="70"/>
      <c r="B107" s="70"/>
      <c r="C107" s="70"/>
      <c r="D107" s="70"/>
      <c r="E107" s="49"/>
      <c r="F107" s="49"/>
      <c r="G107" s="49"/>
      <c r="H107" s="49" t="str">
        <f aca="false">IF(F107&gt;0,G107/F107,"")</f>
        <v/>
      </c>
    </row>
    <row r="108" customFormat="false" ht="15" hidden="false" customHeight="true" outlineLevel="0" collapsed="false">
      <c r="A108" s="68"/>
      <c r="B108" s="68"/>
      <c r="C108" s="68"/>
      <c r="D108" s="68"/>
      <c r="E108" s="47"/>
      <c r="F108" s="47"/>
      <c r="G108" s="47"/>
      <c r="H108" s="47" t="str">
        <f aca="false">IF(F108&gt;0,G108/F108,"")</f>
        <v/>
      </c>
    </row>
    <row r="109" customFormat="false" ht="15" hidden="false" customHeight="true" outlineLevel="0" collapsed="false">
      <c r="A109" s="70"/>
      <c r="B109" s="70"/>
      <c r="C109" s="70"/>
      <c r="D109" s="70"/>
      <c r="E109" s="49"/>
      <c r="F109" s="49"/>
      <c r="G109" s="49"/>
      <c r="H109" s="49" t="str">
        <f aca="false">IF(F109&gt;0,G109/F109,"")</f>
        <v/>
      </c>
    </row>
    <row r="110" customFormat="false" ht="15" hidden="false" customHeight="true" outlineLevel="0" collapsed="false">
      <c r="A110" s="68"/>
      <c r="B110" s="68"/>
      <c r="C110" s="68"/>
      <c r="D110" s="68"/>
      <c r="E110" s="47"/>
      <c r="F110" s="47"/>
      <c r="G110" s="47"/>
      <c r="H110" s="47" t="str">
        <f aca="false">IF(F110&gt;0,G110/F110,"")</f>
        <v/>
      </c>
    </row>
    <row r="111" customFormat="false" ht="15" hidden="false" customHeight="true" outlineLevel="0" collapsed="false">
      <c r="A111" s="70"/>
      <c r="B111" s="70"/>
      <c r="C111" s="70"/>
      <c r="D111" s="70"/>
      <c r="E111" s="49"/>
      <c r="F111" s="49"/>
      <c r="G111" s="49"/>
      <c r="H111" s="49" t="str">
        <f aca="false">IF(F111&gt;0,G111/F111,"")</f>
        <v/>
      </c>
    </row>
    <row r="112" customFormat="false" ht="15" hidden="false" customHeight="true" outlineLevel="0" collapsed="false">
      <c r="A112" s="68"/>
      <c r="B112" s="68"/>
      <c r="C112" s="68"/>
      <c r="D112" s="68"/>
      <c r="E112" s="47"/>
      <c r="F112" s="47"/>
      <c r="G112" s="47"/>
      <c r="H112" s="47" t="str">
        <f aca="false">IF(F112&gt;0,G112/F112,"")</f>
        <v/>
      </c>
    </row>
    <row r="113" customFormat="false" ht="15" hidden="false" customHeight="true" outlineLevel="0" collapsed="false">
      <c r="A113" s="70"/>
      <c r="B113" s="70"/>
      <c r="C113" s="70"/>
      <c r="D113" s="70"/>
      <c r="E113" s="49"/>
      <c r="F113" s="49"/>
      <c r="G113" s="49"/>
      <c r="H113" s="49" t="str">
        <f aca="false">IF(F113&gt;0,G113/F113,"")</f>
        <v/>
      </c>
    </row>
    <row r="114" customFormat="false" ht="15" hidden="false" customHeight="true" outlineLevel="0" collapsed="false">
      <c r="A114" s="68"/>
      <c r="B114" s="68"/>
      <c r="C114" s="68"/>
      <c r="D114" s="68"/>
      <c r="E114" s="47"/>
      <c r="F114" s="47"/>
      <c r="G114" s="47"/>
      <c r="H114" s="47" t="str">
        <f aca="false">IF(F114&gt;0,G114/F114,"")</f>
        <v/>
      </c>
    </row>
    <row r="115" customFormat="false" ht="15" hidden="false" customHeight="true" outlineLevel="0" collapsed="false">
      <c r="A115" s="70"/>
      <c r="B115" s="70"/>
      <c r="C115" s="70"/>
      <c r="D115" s="70"/>
      <c r="E115" s="49"/>
      <c r="F115" s="49"/>
      <c r="G115" s="49"/>
      <c r="H115" s="49" t="str">
        <f aca="false">IF(F115&gt;0,G115/F115,"")</f>
        <v/>
      </c>
    </row>
    <row r="116" customFormat="false" ht="15" hidden="false" customHeight="true" outlineLevel="0" collapsed="false">
      <c r="A116" s="68"/>
      <c r="B116" s="68"/>
      <c r="C116" s="68"/>
      <c r="D116" s="68"/>
      <c r="E116" s="47"/>
      <c r="F116" s="47"/>
      <c r="G116" s="47"/>
      <c r="H116" s="47" t="str">
        <f aca="false">IF(F116&gt;0,G116/F116,"")</f>
        <v/>
      </c>
    </row>
    <row r="117" customFormat="false" ht="15" hidden="false" customHeight="true" outlineLevel="0" collapsed="false">
      <c r="A117" s="70"/>
      <c r="B117" s="70"/>
      <c r="C117" s="70"/>
      <c r="D117" s="70"/>
      <c r="E117" s="49"/>
      <c r="F117" s="49"/>
      <c r="G117" s="49"/>
      <c r="H117" s="49" t="str">
        <f aca="false">IF(F117&gt;0,G117/F117,"")</f>
        <v/>
      </c>
    </row>
    <row r="118" customFormat="false" ht="15" hidden="false" customHeight="true" outlineLevel="0" collapsed="false">
      <c r="A118" s="68"/>
      <c r="B118" s="68"/>
      <c r="C118" s="68"/>
      <c r="D118" s="68"/>
      <c r="E118" s="47"/>
      <c r="F118" s="47"/>
      <c r="G118" s="47"/>
      <c r="H118" s="47" t="str">
        <f aca="false">IF(F118&gt;0,G118/F118,"")</f>
        <v/>
      </c>
    </row>
    <row r="119" customFormat="false" ht="15" hidden="false" customHeight="true" outlineLevel="0" collapsed="false">
      <c r="A119" s="70"/>
      <c r="B119" s="70"/>
      <c r="C119" s="70"/>
      <c r="D119" s="70"/>
      <c r="E119" s="49"/>
      <c r="F119" s="49"/>
      <c r="G119" s="49"/>
      <c r="H119" s="49" t="str">
        <f aca="false">IF(F119&gt;0,G119/F119,"")</f>
        <v/>
      </c>
    </row>
    <row r="120" customFormat="false" ht="15" hidden="false" customHeight="true" outlineLevel="0" collapsed="false">
      <c r="A120" s="68"/>
      <c r="B120" s="68"/>
      <c r="C120" s="68"/>
      <c r="D120" s="68"/>
      <c r="E120" s="47"/>
      <c r="F120" s="47"/>
      <c r="G120" s="47"/>
      <c r="H120" s="47" t="str">
        <f aca="false">IF(F120&gt;0,G120/F120,"")</f>
        <v/>
      </c>
    </row>
    <row r="121" customFormat="false" ht="15" hidden="false" customHeight="true" outlineLevel="0" collapsed="false">
      <c r="A121" s="70"/>
      <c r="B121" s="70"/>
      <c r="C121" s="70"/>
      <c r="D121" s="70"/>
      <c r="E121" s="49"/>
      <c r="F121" s="49"/>
      <c r="G121" s="49"/>
      <c r="H121" s="49" t="str">
        <f aca="false">IF(F121&gt;0,G121/F121,"")</f>
        <v/>
      </c>
    </row>
    <row r="122" customFormat="false" ht="15" hidden="false" customHeight="true" outlineLevel="0" collapsed="false">
      <c r="A122" s="68"/>
      <c r="B122" s="68"/>
      <c r="C122" s="68"/>
      <c r="D122" s="68"/>
      <c r="E122" s="47"/>
      <c r="F122" s="47"/>
      <c r="G122" s="47"/>
      <c r="H122" s="47" t="str">
        <f aca="false">IF(F122&gt;0,G122/F122,"")</f>
        <v/>
      </c>
    </row>
    <row r="123" customFormat="false" ht="15" hidden="false" customHeight="true" outlineLevel="0" collapsed="false">
      <c r="A123" s="70"/>
      <c r="B123" s="70"/>
      <c r="C123" s="70"/>
      <c r="D123" s="70"/>
      <c r="E123" s="49"/>
      <c r="F123" s="49"/>
      <c r="G123" s="49"/>
      <c r="H123" s="49" t="str">
        <f aca="false">IF(F123&gt;0,G123/F123,"")</f>
        <v/>
      </c>
    </row>
    <row r="124" customFormat="false" ht="15" hidden="false" customHeight="true" outlineLevel="0" collapsed="false">
      <c r="A124" s="68"/>
      <c r="B124" s="68"/>
      <c r="C124" s="68"/>
      <c r="D124" s="68"/>
      <c r="E124" s="47"/>
      <c r="F124" s="47"/>
      <c r="G124" s="47"/>
      <c r="H124" s="47" t="str">
        <f aca="false">IF(F124&gt;0,G124/F124,"")</f>
        <v/>
      </c>
    </row>
    <row r="125" customFormat="false" ht="15" hidden="false" customHeight="true" outlineLevel="0" collapsed="false">
      <c r="A125" s="70"/>
      <c r="B125" s="70"/>
      <c r="C125" s="70"/>
      <c r="D125" s="70"/>
      <c r="E125" s="49"/>
      <c r="F125" s="49"/>
      <c r="G125" s="49"/>
      <c r="H125" s="49" t="str">
        <f aca="false">IF(F125&gt;0,G125/F125,"")</f>
        <v/>
      </c>
    </row>
    <row r="126" customFormat="false" ht="15" hidden="false" customHeight="true" outlineLevel="0" collapsed="false">
      <c r="A126" s="68"/>
      <c r="B126" s="68"/>
      <c r="C126" s="68"/>
      <c r="D126" s="68"/>
      <c r="E126" s="47"/>
      <c r="F126" s="47"/>
      <c r="G126" s="47"/>
      <c r="H126" s="47" t="str">
        <f aca="false">IF(F126&gt;0,G126/F126,"")</f>
        <v/>
      </c>
    </row>
    <row r="127" customFormat="false" ht="15" hidden="false" customHeight="true" outlineLevel="0" collapsed="false">
      <c r="A127" s="70"/>
      <c r="B127" s="70"/>
      <c r="C127" s="70"/>
      <c r="D127" s="70"/>
      <c r="E127" s="49"/>
      <c r="F127" s="49"/>
      <c r="G127" s="49"/>
      <c r="H127" s="49" t="str">
        <f aca="false">IF(F127&gt;0,G127/F127,"")</f>
        <v/>
      </c>
    </row>
    <row r="128" customFormat="false" ht="15" hidden="false" customHeight="true" outlineLevel="0" collapsed="false">
      <c r="A128" s="68"/>
      <c r="B128" s="68"/>
      <c r="C128" s="68"/>
      <c r="D128" s="68"/>
      <c r="E128" s="47"/>
      <c r="F128" s="47"/>
      <c r="G128" s="47"/>
      <c r="H128" s="47" t="str">
        <f aca="false">IF(F128&gt;0,G128/F128,"")</f>
        <v/>
      </c>
    </row>
    <row r="129" customFormat="false" ht="15" hidden="false" customHeight="true" outlineLevel="0" collapsed="false">
      <c r="A129" s="70"/>
      <c r="B129" s="70"/>
      <c r="C129" s="70"/>
      <c r="D129" s="70"/>
      <c r="E129" s="49"/>
      <c r="F129" s="49"/>
      <c r="G129" s="49"/>
      <c r="H129" s="49" t="str">
        <f aca="false">IF(F129&gt;0,G129/F129,"")</f>
        <v/>
      </c>
    </row>
    <row r="130" customFormat="false" ht="15" hidden="false" customHeight="true" outlineLevel="0" collapsed="false">
      <c r="A130" s="68"/>
      <c r="B130" s="68"/>
      <c r="C130" s="68"/>
      <c r="D130" s="68"/>
      <c r="E130" s="47"/>
      <c r="F130" s="47"/>
      <c r="G130" s="47"/>
      <c r="H130" s="47" t="str">
        <f aca="false">IF(F130&gt;0,G130/F130,"")</f>
        <v/>
      </c>
    </row>
    <row r="131" customFormat="false" ht="15" hidden="false" customHeight="true" outlineLevel="0" collapsed="false">
      <c r="A131" s="70"/>
      <c r="B131" s="70"/>
      <c r="C131" s="70"/>
      <c r="D131" s="70"/>
      <c r="E131" s="49"/>
      <c r="F131" s="49"/>
      <c r="G131" s="49"/>
      <c r="H131" s="49" t="str">
        <f aca="false">IF(F131&gt;0,G131/F131,"")</f>
        <v/>
      </c>
    </row>
    <row r="132" customFormat="false" ht="15" hidden="false" customHeight="true" outlineLevel="0" collapsed="false">
      <c r="A132" s="68"/>
      <c r="B132" s="68"/>
      <c r="C132" s="68"/>
      <c r="D132" s="68"/>
      <c r="E132" s="47"/>
      <c r="F132" s="47"/>
      <c r="G132" s="47"/>
      <c r="H132" s="47" t="str">
        <f aca="false">IF(F132&gt;0,G132/F132,"")</f>
        <v/>
      </c>
    </row>
    <row r="133" customFormat="false" ht="15" hidden="false" customHeight="true" outlineLevel="0" collapsed="false">
      <c r="A133" s="70"/>
      <c r="B133" s="70"/>
      <c r="C133" s="70"/>
      <c r="D133" s="70"/>
      <c r="E133" s="49"/>
      <c r="F133" s="49"/>
      <c r="G133" s="49"/>
      <c r="H133" s="49" t="str">
        <f aca="false">IF(F133&gt;0,G133/F133,"")</f>
        <v/>
      </c>
    </row>
    <row r="134" customFormat="false" ht="15" hidden="false" customHeight="true" outlineLevel="0" collapsed="false">
      <c r="A134" s="68"/>
      <c r="B134" s="68"/>
      <c r="C134" s="68"/>
      <c r="D134" s="68"/>
      <c r="E134" s="47"/>
      <c r="F134" s="47"/>
      <c r="G134" s="47"/>
      <c r="H134" s="47" t="str">
        <f aca="false">IF(F134&gt;0,G134/F134,"")</f>
        <v/>
      </c>
    </row>
    <row r="135" customFormat="false" ht="15" hidden="false" customHeight="true" outlineLevel="0" collapsed="false">
      <c r="A135" s="70"/>
      <c r="B135" s="70"/>
      <c r="C135" s="70"/>
      <c r="D135" s="70"/>
      <c r="E135" s="49"/>
      <c r="F135" s="49"/>
      <c r="G135" s="49"/>
      <c r="H135" s="49" t="str">
        <f aca="false">IF(F135&gt;0,G135/F135,"")</f>
        <v/>
      </c>
    </row>
    <row r="136" customFormat="false" ht="15" hidden="false" customHeight="true" outlineLevel="0" collapsed="false">
      <c r="A136" s="68"/>
      <c r="B136" s="68"/>
      <c r="C136" s="68"/>
      <c r="D136" s="68"/>
      <c r="E136" s="47"/>
      <c r="F136" s="47"/>
      <c r="G136" s="47"/>
      <c r="H136" s="47" t="str">
        <f aca="false">IF(F136&gt;0,G136/F136,"")</f>
        <v/>
      </c>
    </row>
    <row r="137" customFormat="false" ht="15" hidden="false" customHeight="true" outlineLevel="0" collapsed="false">
      <c r="A137" s="70"/>
      <c r="B137" s="70"/>
      <c r="C137" s="70"/>
      <c r="D137" s="70"/>
      <c r="E137" s="49"/>
      <c r="F137" s="49"/>
      <c r="G137" s="49"/>
      <c r="H137" s="49" t="str">
        <f aca="false">IF(F137&gt;0,G137/F137,"")</f>
        <v/>
      </c>
    </row>
    <row r="138" customFormat="false" ht="15" hidden="false" customHeight="true" outlineLevel="0" collapsed="false">
      <c r="A138" s="68"/>
      <c r="B138" s="68"/>
      <c r="C138" s="68"/>
      <c r="D138" s="68"/>
      <c r="E138" s="47"/>
      <c r="F138" s="47"/>
      <c r="G138" s="47"/>
      <c r="H138" s="47" t="str">
        <f aca="false">IF(F138&gt;0,G138/F138,"")</f>
        <v/>
      </c>
    </row>
    <row r="139" customFormat="false" ht="15" hidden="false" customHeight="true" outlineLevel="0" collapsed="false">
      <c r="A139" s="70"/>
      <c r="B139" s="70"/>
      <c r="C139" s="70"/>
      <c r="D139" s="70"/>
      <c r="E139" s="49"/>
      <c r="F139" s="49"/>
      <c r="G139" s="49"/>
      <c r="H139" s="49" t="str">
        <f aca="false">IF(F139&gt;0,G139/F139,"")</f>
        <v/>
      </c>
    </row>
    <row r="140" customFormat="false" ht="15" hidden="false" customHeight="true" outlineLevel="0" collapsed="false">
      <c r="A140" s="68"/>
      <c r="B140" s="68"/>
      <c r="C140" s="68"/>
      <c r="D140" s="68"/>
      <c r="E140" s="47"/>
      <c r="F140" s="47"/>
      <c r="G140" s="47"/>
      <c r="H140" s="47" t="str">
        <f aca="false">IF(F140&gt;0,G140/F140,"")</f>
        <v/>
      </c>
    </row>
    <row r="141" customFormat="false" ht="15" hidden="false" customHeight="true" outlineLevel="0" collapsed="false">
      <c r="A141" s="70"/>
      <c r="B141" s="70"/>
      <c r="C141" s="70"/>
      <c r="D141" s="70"/>
      <c r="E141" s="49"/>
      <c r="F141" s="49"/>
      <c r="G141" s="49"/>
      <c r="H141" s="49" t="str">
        <f aca="false">IF(F141&gt;0,G141/F141,"")</f>
        <v/>
      </c>
    </row>
    <row r="142" customFormat="false" ht="15" hidden="false" customHeight="true" outlineLevel="0" collapsed="false">
      <c r="A142" s="68"/>
      <c r="B142" s="68"/>
      <c r="C142" s="68"/>
      <c r="D142" s="68"/>
      <c r="E142" s="47"/>
      <c r="F142" s="47"/>
      <c r="G142" s="47"/>
      <c r="H142" s="47" t="str">
        <f aca="false">IF(F142&gt;0,G142/F142,"")</f>
        <v/>
      </c>
    </row>
    <row r="143" customFormat="false" ht="15" hidden="false" customHeight="true" outlineLevel="0" collapsed="false">
      <c r="A143" s="70"/>
      <c r="B143" s="70"/>
      <c r="C143" s="70"/>
      <c r="D143" s="70"/>
      <c r="E143" s="49"/>
      <c r="F143" s="49"/>
      <c r="G143" s="49"/>
      <c r="H143" s="49" t="str">
        <f aca="false">IF(F143&gt;0,G143/F143,"")</f>
        <v/>
      </c>
    </row>
    <row r="144" customFormat="false" ht="15" hidden="false" customHeight="true" outlineLevel="0" collapsed="false">
      <c r="A144" s="68"/>
      <c r="B144" s="68"/>
      <c r="C144" s="68"/>
      <c r="D144" s="68"/>
      <c r="E144" s="47"/>
      <c r="F144" s="47"/>
      <c r="G144" s="47"/>
      <c r="H144" s="47" t="str">
        <f aca="false">IF(F144&gt;0,G144/F144,"")</f>
        <v/>
      </c>
    </row>
    <row r="145" customFormat="false" ht="15" hidden="false" customHeight="true" outlineLevel="0" collapsed="false">
      <c r="A145" s="70"/>
      <c r="B145" s="70"/>
      <c r="C145" s="70"/>
      <c r="D145" s="70"/>
      <c r="E145" s="49"/>
      <c r="F145" s="49"/>
      <c r="G145" s="49"/>
      <c r="H145" s="49" t="str">
        <f aca="false">IF(F145&gt;0,G145/F145,"")</f>
        <v/>
      </c>
    </row>
    <row r="146" customFormat="false" ht="15" hidden="false" customHeight="true" outlineLevel="0" collapsed="false">
      <c r="A146" s="68"/>
      <c r="B146" s="68"/>
      <c r="C146" s="68"/>
      <c r="D146" s="68"/>
      <c r="E146" s="47"/>
      <c r="F146" s="47"/>
      <c r="G146" s="47"/>
      <c r="H146" s="47" t="str">
        <f aca="false">IF(F146&gt;0,G146/F146,"")</f>
        <v/>
      </c>
    </row>
    <row r="147" customFormat="false" ht="15" hidden="false" customHeight="true" outlineLevel="0" collapsed="false">
      <c r="A147" s="70"/>
      <c r="B147" s="70"/>
      <c r="C147" s="70"/>
      <c r="D147" s="70"/>
      <c r="E147" s="49"/>
      <c r="F147" s="49"/>
      <c r="G147" s="49"/>
      <c r="H147" s="49" t="str">
        <f aca="false">IF(F147&gt;0,G147/F147,"")</f>
        <v/>
      </c>
    </row>
    <row r="148" customFormat="false" ht="15" hidden="false" customHeight="true" outlineLevel="0" collapsed="false">
      <c r="A148" s="68"/>
      <c r="B148" s="68"/>
      <c r="C148" s="68"/>
      <c r="D148" s="68"/>
      <c r="E148" s="47"/>
      <c r="F148" s="47"/>
      <c r="G148" s="47"/>
      <c r="H148" s="47" t="str">
        <f aca="false">IF(F148&gt;0,G148/F148,"")</f>
        <v/>
      </c>
    </row>
    <row r="149" customFormat="false" ht="15" hidden="false" customHeight="true" outlineLevel="0" collapsed="false">
      <c r="A149" s="70"/>
      <c r="B149" s="70"/>
      <c r="C149" s="70"/>
      <c r="D149" s="70"/>
      <c r="E149" s="49"/>
      <c r="F149" s="49"/>
      <c r="G149" s="49"/>
      <c r="H149" s="49" t="str">
        <f aca="false">IF(F149&gt;0,G149/F149,"")</f>
        <v/>
      </c>
    </row>
    <row r="150" customFormat="false" ht="15" hidden="false" customHeight="true" outlineLevel="0" collapsed="false">
      <c r="A150" s="68"/>
      <c r="B150" s="68"/>
      <c r="C150" s="68"/>
      <c r="D150" s="68"/>
      <c r="E150" s="47"/>
      <c r="F150" s="47"/>
      <c r="G150" s="47"/>
      <c r="H150" s="47" t="str">
        <f aca="false">IF(F150&gt;0,G150/F150,"")</f>
        <v/>
      </c>
    </row>
    <row r="151" customFormat="false" ht="15" hidden="false" customHeight="true" outlineLevel="0" collapsed="false">
      <c r="A151" s="70"/>
      <c r="B151" s="70"/>
      <c r="C151" s="70"/>
      <c r="D151" s="70"/>
      <c r="E151" s="49"/>
      <c r="F151" s="49"/>
      <c r="G151" s="49"/>
      <c r="H151" s="49" t="str">
        <f aca="false">IF(F151&gt;0,G151/F151,"")</f>
        <v/>
      </c>
    </row>
    <row r="152" customFormat="false" ht="15" hidden="false" customHeight="true" outlineLevel="0" collapsed="false">
      <c r="A152" s="68"/>
      <c r="B152" s="68"/>
      <c r="C152" s="68"/>
      <c r="D152" s="68"/>
      <c r="E152" s="47"/>
      <c r="F152" s="47"/>
      <c r="G152" s="47"/>
      <c r="H152" s="47" t="str">
        <f aca="false">IF(F152&gt;0,G152/F152,"")</f>
        <v/>
      </c>
    </row>
    <row r="153" customFormat="false" ht="15" hidden="false" customHeight="true" outlineLevel="0" collapsed="false">
      <c r="A153" s="70"/>
      <c r="B153" s="70"/>
      <c r="C153" s="70"/>
      <c r="D153" s="70"/>
      <c r="E153" s="49"/>
      <c r="F153" s="49"/>
      <c r="G153" s="49"/>
      <c r="H153" s="49" t="str">
        <f aca="false">IF(F153&gt;0,G153/F153,"")</f>
        <v/>
      </c>
    </row>
    <row r="154" customFormat="false" ht="15" hidden="false" customHeight="true" outlineLevel="0" collapsed="false">
      <c r="A154" s="68"/>
      <c r="B154" s="68"/>
      <c r="C154" s="68"/>
      <c r="D154" s="68"/>
      <c r="E154" s="47"/>
      <c r="F154" s="47"/>
      <c r="G154" s="47"/>
      <c r="H154" s="47" t="str">
        <f aca="false">IF(F154&gt;0,G154/F154,"")</f>
        <v/>
      </c>
    </row>
    <row r="155" customFormat="false" ht="15" hidden="false" customHeight="true" outlineLevel="0" collapsed="false">
      <c r="A155" s="70"/>
      <c r="B155" s="70"/>
      <c r="C155" s="70"/>
      <c r="D155" s="70"/>
      <c r="E155" s="49"/>
      <c r="F155" s="49"/>
      <c r="G155" s="49"/>
      <c r="H155" s="49" t="str">
        <f aca="false">IF(F155&gt;0,G155/F155,"")</f>
        <v/>
      </c>
    </row>
    <row r="156" customFormat="false" ht="15" hidden="false" customHeight="true" outlineLevel="0" collapsed="false">
      <c r="A156" s="68"/>
      <c r="B156" s="68"/>
      <c r="C156" s="68"/>
      <c r="D156" s="68"/>
      <c r="E156" s="47"/>
      <c r="F156" s="47"/>
      <c r="G156" s="47"/>
      <c r="H156" s="47" t="str">
        <f aca="false">IF(F156&gt;0,G156/F156,"")</f>
        <v/>
      </c>
    </row>
    <row r="157" customFormat="false" ht="15" hidden="false" customHeight="true" outlineLevel="0" collapsed="false">
      <c r="A157" s="70"/>
      <c r="B157" s="70"/>
      <c r="C157" s="70"/>
      <c r="D157" s="70"/>
      <c r="E157" s="49"/>
      <c r="F157" s="49"/>
      <c r="G157" s="49"/>
      <c r="H157" s="49" t="str">
        <f aca="false">IF(F157&gt;0,G157/F157,"")</f>
        <v/>
      </c>
    </row>
    <row r="158" customFormat="false" ht="15" hidden="false" customHeight="true" outlineLevel="0" collapsed="false">
      <c r="A158" s="68"/>
      <c r="B158" s="68"/>
      <c r="C158" s="68"/>
      <c r="D158" s="68"/>
      <c r="E158" s="47"/>
      <c r="F158" s="47"/>
      <c r="G158" s="47"/>
      <c r="H158" s="47" t="str">
        <f aca="false">IF(F158&gt;0,G158/F158,"")</f>
        <v/>
      </c>
    </row>
    <row r="159" customFormat="false" ht="15" hidden="false" customHeight="true" outlineLevel="0" collapsed="false">
      <c r="A159" s="70"/>
      <c r="B159" s="70"/>
      <c r="C159" s="70"/>
      <c r="D159" s="70"/>
      <c r="E159" s="49"/>
      <c r="F159" s="49"/>
      <c r="G159" s="49"/>
      <c r="H159" s="49" t="str">
        <f aca="false">IF(F159&gt;0,G159/F159,"")</f>
        <v/>
      </c>
    </row>
    <row r="160" customFormat="false" ht="15" hidden="false" customHeight="true" outlineLevel="0" collapsed="false">
      <c r="A160" s="68"/>
      <c r="B160" s="68"/>
      <c r="C160" s="68"/>
      <c r="D160" s="68"/>
      <c r="E160" s="47"/>
      <c r="F160" s="47"/>
      <c r="G160" s="47"/>
      <c r="H160" s="47" t="str">
        <f aca="false">IF(F160&gt;0,G160/F160,"")</f>
        <v/>
      </c>
    </row>
    <row r="161" customFormat="false" ht="15" hidden="false" customHeight="true" outlineLevel="0" collapsed="false">
      <c r="A161" s="70"/>
      <c r="B161" s="70"/>
      <c r="C161" s="70"/>
      <c r="D161" s="70"/>
      <c r="E161" s="49"/>
      <c r="F161" s="49"/>
      <c r="G161" s="49"/>
      <c r="H161" s="49" t="str">
        <f aca="false">IF(F161&gt;0,G161/F161,"")</f>
        <v/>
      </c>
    </row>
    <row r="162" customFormat="false" ht="15" hidden="false" customHeight="true" outlineLevel="0" collapsed="false">
      <c r="A162" s="68"/>
      <c r="B162" s="68"/>
      <c r="C162" s="68"/>
      <c r="D162" s="68"/>
      <c r="E162" s="47"/>
      <c r="F162" s="47"/>
      <c r="G162" s="47"/>
      <c r="H162" s="47" t="str">
        <f aca="false">IF(F162&gt;0,G162/F162,"")</f>
        <v/>
      </c>
    </row>
    <row r="163" customFormat="false" ht="15" hidden="false" customHeight="true" outlineLevel="0" collapsed="false">
      <c r="A163" s="70"/>
      <c r="B163" s="70"/>
      <c r="C163" s="70"/>
      <c r="D163" s="70"/>
      <c r="E163" s="49"/>
      <c r="F163" s="49"/>
      <c r="G163" s="49"/>
      <c r="H163" s="49" t="str">
        <f aca="false">IF(F163&gt;0,G163/F163,"")</f>
        <v/>
      </c>
    </row>
    <row r="164" customFormat="false" ht="15" hidden="false" customHeight="true" outlineLevel="0" collapsed="false">
      <c r="A164" s="68"/>
      <c r="B164" s="68"/>
      <c r="C164" s="68"/>
      <c r="D164" s="68"/>
      <c r="E164" s="47"/>
      <c r="F164" s="47"/>
      <c r="G164" s="47"/>
      <c r="H164" s="47" t="str">
        <f aca="false">IF(F164&gt;0,G164/F164,"")</f>
        <v/>
      </c>
    </row>
    <row r="165" customFormat="false" ht="15" hidden="false" customHeight="true" outlineLevel="0" collapsed="false">
      <c r="A165" s="70"/>
      <c r="B165" s="70"/>
      <c r="C165" s="70"/>
      <c r="D165" s="70"/>
      <c r="E165" s="49"/>
      <c r="F165" s="49"/>
      <c r="G165" s="49"/>
      <c r="H165" s="49" t="str">
        <f aca="false">IF(F165&gt;0,G165/F165,"")</f>
        <v/>
      </c>
    </row>
    <row r="166" customFormat="false" ht="15" hidden="false" customHeight="true" outlineLevel="0" collapsed="false">
      <c r="A166" s="68"/>
      <c r="B166" s="68"/>
      <c r="C166" s="68"/>
      <c r="D166" s="68"/>
      <c r="E166" s="47"/>
      <c r="F166" s="47"/>
      <c r="G166" s="47"/>
      <c r="H166" s="47" t="str">
        <f aca="false">IF(F166&gt;0,G166/F166,"")</f>
        <v/>
      </c>
    </row>
    <row r="167" customFormat="false" ht="15" hidden="false" customHeight="true" outlineLevel="0" collapsed="false">
      <c r="A167" s="70"/>
      <c r="B167" s="70"/>
      <c r="C167" s="70"/>
      <c r="D167" s="70"/>
      <c r="E167" s="49"/>
      <c r="F167" s="49"/>
      <c r="G167" s="49"/>
      <c r="H167" s="49" t="str">
        <f aca="false">IF(F167&gt;0,G167/F167,"")</f>
        <v/>
      </c>
    </row>
    <row r="168" customFormat="false" ht="15" hidden="false" customHeight="true" outlineLevel="0" collapsed="false">
      <c r="A168" s="68"/>
      <c r="B168" s="68"/>
      <c r="C168" s="68"/>
      <c r="D168" s="68"/>
      <c r="E168" s="47"/>
      <c r="F168" s="47"/>
      <c r="G168" s="47"/>
      <c r="H168" s="47" t="str">
        <f aca="false">IF(F168&gt;0,G168/F168,"")</f>
        <v/>
      </c>
    </row>
    <row r="169" customFormat="false" ht="15" hidden="false" customHeight="true" outlineLevel="0" collapsed="false">
      <c r="A169" s="70"/>
      <c r="B169" s="70"/>
      <c r="C169" s="70"/>
      <c r="D169" s="70"/>
      <c r="E169" s="49"/>
      <c r="F169" s="49"/>
      <c r="G169" s="49"/>
      <c r="H169" s="49" t="str">
        <f aca="false">IF(F169&gt;0,G169/F169,"")</f>
        <v/>
      </c>
    </row>
    <row r="170" customFormat="false" ht="15" hidden="false" customHeight="true" outlineLevel="0" collapsed="false">
      <c r="A170" s="68"/>
      <c r="B170" s="68"/>
      <c r="C170" s="68"/>
      <c r="D170" s="68"/>
      <c r="E170" s="47"/>
      <c r="F170" s="47"/>
      <c r="G170" s="47"/>
      <c r="H170" s="47" t="str">
        <f aca="false">IF(F170&gt;0,G170/F170,"")</f>
        <v/>
      </c>
    </row>
    <row r="171" customFormat="false" ht="15" hidden="false" customHeight="true" outlineLevel="0" collapsed="false">
      <c r="A171" s="70"/>
      <c r="B171" s="70"/>
      <c r="C171" s="70"/>
      <c r="D171" s="70"/>
      <c r="E171" s="49"/>
      <c r="F171" s="49"/>
      <c r="G171" s="49"/>
      <c r="H171" s="49" t="str">
        <f aca="false">IF(F171&gt;0,G171/F171,"")</f>
        <v/>
      </c>
    </row>
    <row r="172" customFormat="false" ht="15" hidden="false" customHeight="true" outlineLevel="0" collapsed="false">
      <c r="A172" s="68"/>
      <c r="B172" s="68"/>
      <c r="C172" s="68"/>
      <c r="D172" s="68"/>
      <c r="E172" s="47"/>
      <c r="F172" s="47"/>
      <c r="G172" s="47"/>
      <c r="H172" s="47" t="str">
        <f aca="false">IF(F172&gt;0,G172/F172,"")</f>
        <v/>
      </c>
    </row>
    <row r="173" customFormat="false" ht="15" hidden="false" customHeight="true" outlineLevel="0" collapsed="false">
      <c r="A173" s="70"/>
      <c r="B173" s="70"/>
      <c r="C173" s="70"/>
      <c r="D173" s="70"/>
      <c r="E173" s="49"/>
      <c r="F173" s="49"/>
      <c r="G173" s="49"/>
      <c r="H173" s="49" t="str">
        <f aca="false">IF(F173&gt;0,G173/F173,"")</f>
        <v/>
      </c>
    </row>
    <row r="174" customFormat="false" ht="15" hidden="false" customHeight="true" outlineLevel="0" collapsed="false">
      <c r="A174" s="68"/>
      <c r="B174" s="68"/>
      <c r="C174" s="68"/>
      <c r="D174" s="68"/>
      <c r="E174" s="47"/>
      <c r="F174" s="47"/>
      <c r="G174" s="47"/>
      <c r="H174" s="47" t="str">
        <f aca="false">IF(F174&gt;0,G174/F174,"")</f>
        <v/>
      </c>
    </row>
    <row r="175" customFormat="false" ht="15" hidden="false" customHeight="true" outlineLevel="0" collapsed="false">
      <c r="A175" s="70"/>
      <c r="B175" s="70"/>
      <c r="C175" s="70"/>
      <c r="D175" s="70"/>
      <c r="E175" s="49"/>
      <c r="F175" s="49"/>
      <c r="G175" s="49"/>
      <c r="H175" s="49" t="str">
        <f aca="false">IF(F175&gt;0,G175/F175,"")</f>
        <v/>
      </c>
    </row>
    <row r="176" customFormat="false" ht="15" hidden="false" customHeight="true" outlineLevel="0" collapsed="false">
      <c r="A176" s="68"/>
      <c r="B176" s="68"/>
      <c r="C176" s="68"/>
      <c r="D176" s="68"/>
      <c r="E176" s="47"/>
      <c r="F176" s="47"/>
      <c r="G176" s="47"/>
      <c r="H176" s="47" t="str">
        <f aca="false">IF(F176&gt;0,G176/F176,"")</f>
        <v/>
      </c>
    </row>
    <row r="177" customFormat="false" ht="15" hidden="false" customHeight="true" outlineLevel="0" collapsed="false">
      <c r="A177" s="70"/>
      <c r="B177" s="70"/>
      <c r="C177" s="70"/>
      <c r="D177" s="70"/>
      <c r="E177" s="49"/>
      <c r="F177" s="49"/>
      <c r="G177" s="49"/>
      <c r="H177" s="49" t="str">
        <f aca="false">IF(F177&gt;0,G177/F177,"")</f>
        <v/>
      </c>
    </row>
    <row r="178" customFormat="false" ht="15" hidden="false" customHeight="true" outlineLevel="0" collapsed="false">
      <c r="A178" s="68"/>
      <c r="B178" s="68"/>
      <c r="C178" s="68"/>
      <c r="D178" s="68"/>
      <c r="E178" s="47"/>
      <c r="F178" s="47"/>
      <c r="G178" s="47"/>
      <c r="H178" s="47" t="str">
        <f aca="false">IF(F178&gt;0,G178/F178,"")</f>
        <v/>
      </c>
    </row>
    <row r="179" customFormat="false" ht="15" hidden="false" customHeight="true" outlineLevel="0" collapsed="false">
      <c r="A179" s="70"/>
      <c r="B179" s="70"/>
      <c r="C179" s="70"/>
      <c r="D179" s="70"/>
      <c r="E179" s="49"/>
      <c r="F179" s="49"/>
      <c r="G179" s="49"/>
      <c r="H179" s="49" t="str">
        <f aca="false">IF(F179&gt;0,G179/F179,"")</f>
        <v/>
      </c>
    </row>
    <row r="180" customFormat="false" ht="15" hidden="false" customHeight="true" outlineLevel="0" collapsed="false">
      <c r="A180" s="68"/>
      <c r="B180" s="68"/>
      <c r="C180" s="68"/>
      <c r="D180" s="68"/>
      <c r="E180" s="47"/>
      <c r="F180" s="47"/>
      <c r="G180" s="47"/>
      <c r="H180" s="47" t="str">
        <f aca="false">IF(F180&gt;0,G180/F180,"")</f>
        <v/>
      </c>
    </row>
    <row r="181" customFormat="false" ht="15" hidden="false" customHeight="true" outlineLevel="0" collapsed="false">
      <c r="A181" s="70"/>
      <c r="B181" s="70"/>
      <c r="C181" s="70"/>
      <c r="D181" s="70"/>
      <c r="E181" s="49"/>
      <c r="F181" s="49"/>
      <c r="G181" s="49"/>
      <c r="H181" s="49" t="str">
        <f aca="false">IF(F181&gt;0,G181/F181,"")</f>
        <v/>
      </c>
    </row>
    <row r="182" customFormat="false" ht="15" hidden="false" customHeight="true" outlineLevel="0" collapsed="false">
      <c r="A182" s="68"/>
      <c r="B182" s="68"/>
      <c r="C182" s="68"/>
      <c r="D182" s="68"/>
      <c r="E182" s="47"/>
      <c r="F182" s="47"/>
      <c r="G182" s="47"/>
      <c r="H182" s="47" t="str">
        <f aca="false">IF(F182&gt;0,G182/F182,"")</f>
        <v/>
      </c>
    </row>
    <row r="183" customFormat="false" ht="15" hidden="false" customHeight="true" outlineLevel="0" collapsed="false">
      <c r="A183" s="70"/>
      <c r="B183" s="70"/>
      <c r="C183" s="70"/>
      <c r="D183" s="70"/>
      <c r="E183" s="49"/>
      <c r="F183" s="49"/>
      <c r="G183" s="49"/>
      <c r="H183" s="49" t="str">
        <f aca="false">IF(F183&gt;0,G183/F183,"")</f>
        <v/>
      </c>
    </row>
    <row r="184" customFormat="false" ht="15" hidden="false" customHeight="true" outlineLevel="0" collapsed="false">
      <c r="A184" s="68"/>
      <c r="B184" s="68"/>
      <c r="C184" s="68"/>
      <c r="D184" s="68"/>
      <c r="E184" s="47"/>
      <c r="F184" s="47"/>
      <c r="G184" s="47"/>
      <c r="H184" s="47" t="str">
        <f aca="false">IF(F184&gt;0,G184/F184,"")</f>
        <v/>
      </c>
    </row>
    <row r="185" customFormat="false" ht="15" hidden="false" customHeight="true" outlineLevel="0" collapsed="false">
      <c r="A185" s="70"/>
      <c r="B185" s="70"/>
      <c r="C185" s="70"/>
      <c r="D185" s="70"/>
      <c r="E185" s="49"/>
      <c r="F185" s="49"/>
      <c r="G185" s="49"/>
      <c r="H185" s="49" t="str">
        <f aca="false">IF(F185&gt;0,G185/F185,"")</f>
        <v/>
      </c>
    </row>
    <row r="186" customFormat="false" ht="15" hidden="false" customHeight="true" outlineLevel="0" collapsed="false">
      <c r="A186" s="68"/>
      <c r="B186" s="68"/>
      <c r="C186" s="68"/>
      <c r="D186" s="68"/>
      <c r="E186" s="47"/>
      <c r="F186" s="47"/>
      <c r="G186" s="47"/>
      <c r="H186" s="47" t="str">
        <f aca="false">IF(F186&gt;0,G186/F186,"")</f>
        <v/>
      </c>
    </row>
    <row r="187" customFormat="false" ht="15" hidden="false" customHeight="true" outlineLevel="0" collapsed="false">
      <c r="A187" s="70"/>
      <c r="B187" s="70"/>
      <c r="C187" s="70"/>
      <c r="D187" s="70"/>
      <c r="E187" s="49"/>
      <c r="F187" s="49"/>
      <c r="G187" s="49"/>
      <c r="H187" s="49" t="str">
        <f aca="false">IF(F187&gt;0,G187/F187,"")</f>
        <v/>
      </c>
    </row>
    <row r="188" customFormat="false" ht="15" hidden="false" customHeight="true" outlineLevel="0" collapsed="false">
      <c r="A188" s="68"/>
      <c r="B188" s="68"/>
      <c r="C188" s="68"/>
      <c r="D188" s="68"/>
      <c r="E188" s="47"/>
      <c r="F188" s="47"/>
      <c r="G188" s="47"/>
      <c r="H188" s="47" t="str">
        <f aca="false">IF(F188&gt;0,G188/F188,"")</f>
        <v/>
      </c>
    </row>
    <row r="189" customFormat="false" ht="15" hidden="false" customHeight="true" outlineLevel="0" collapsed="false">
      <c r="A189" s="70"/>
      <c r="B189" s="70"/>
      <c r="C189" s="70"/>
      <c r="D189" s="70"/>
      <c r="E189" s="49"/>
      <c r="F189" s="49"/>
      <c r="G189" s="49"/>
      <c r="H189" s="49" t="str">
        <f aca="false">IF(F189&gt;0,G189/F189,"")</f>
        <v/>
      </c>
    </row>
    <row r="190" customFormat="false" ht="15" hidden="false" customHeight="true" outlineLevel="0" collapsed="false">
      <c r="A190" s="68"/>
      <c r="B190" s="68"/>
      <c r="C190" s="68"/>
      <c r="D190" s="68"/>
      <c r="E190" s="47"/>
      <c r="F190" s="47"/>
      <c r="G190" s="47"/>
      <c r="H190" s="47" t="str">
        <f aca="false">IF(F190&gt;0,G190/F190,"")</f>
        <v/>
      </c>
    </row>
    <row r="191" customFormat="false" ht="15" hidden="false" customHeight="true" outlineLevel="0" collapsed="false">
      <c r="A191" s="70"/>
      <c r="B191" s="70"/>
      <c r="C191" s="70"/>
      <c r="D191" s="70"/>
      <c r="E191" s="49"/>
      <c r="F191" s="49"/>
      <c r="G191" s="49"/>
      <c r="H191" s="49" t="str">
        <f aca="false">IF(F191&gt;0,G191/F191,"")</f>
        <v/>
      </c>
    </row>
    <row r="192" customFormat="false" ht="15" hidden="false" customHeight="true" outlineLevel="0" collapsed="false">
      <c r="A192" s="68"/>
      <c r="B192" s="68"/>
      <c r="C192" s="68"/>
      <c r="D192" s="68"/>
      <c r="E192" s="47"/>
      <c r="F192" s="47"/>
      <c r="G192" s="47"/>
      <c r="H192" s="47" t="str">
        <f aca="false">IF(F192&gt;0,G192/F192,"")</f>
        <v/>
      </c>
    </row>
    <row r="193" customFormat="false" ht="15" hidden="false" customHeight="true" outlineLevel="0" collapsed="false">
      <c r="A193" s="70"/>
      <c r="B193" s="70"/>
      <c r="C193" s="70"/>
      <c r="D193" s="70"/>
      <c r="E193" s="49"/>
      <c r="F193" s="49"/>
      <c r="G193" s="49"/>
      <c r="H193" s="49" t="str">
        <f aca="false">IF(F193&gt;0,G193/F193,"")</f>
        <v/>
      </c>
    </row>
    <row r="194" customFormat="false" ht="15" hidden="false" customHeight="true" outlineLevel="0" collapsed="false">
      <c r="A194" s="68"/>
      <c r="B194" s="68"/>
      <c r="C194" s="68"/>
      <c r="D194" s="68"/>
      <c r="E194" s="47"/>
      <c r="F194" s="47"/>
      <c r="G194" s="47"/>
      <c r="H194" s="47" t="str">
        <f aca="false">IF(F194&gt;0,G194/F194,"")</f>
        <v/>
      </c>
    </row>
    <row r="195" customFormat="false" ht="15" hidden="false" customHeight="true" outlineLevel="0" collapsed="false">
      <c r="A195" s="70"/>
      <c r="B195" s="70"/>
      <c r="C195" s="70"/>
      <c r="D195" s="70"/>
      <c r="E195" s="49"/>
      <c r="F195" s="49"/>
      <c r="G195" s="49"/>
      <c r="H195" s="49" t="str">
        <f aca="false">IF(F195&gt;0,G195/F195,"")</f>
        <v/>
      </c>
    </row>
    <row r="196" customFormat="false" ht="15" hidden="false" customHeight="true" outlineLevel="0" collapsed="false">
      <c r="A196" s="68"/>
      <c r="B196" s="68"/>
      <c r="C196" s="68"/>
      <c r="D196" s="68"/>
      <c r="E196" s="47"/>
      <c r="F196" s="47"/>
      <c r="G196" s="47"/>
      <c r="H196" s="47" t="str">
        <f aca="false">IF(F196&gt;0,G196/F196,"")</f>
        <v/>
      </c>
    </row>
    <row r="197" customFormat="false" ht="15" hidden="false" customHeight="true" outlineLevel="0" collapsed="false">
      <c r="A197" s="70"/>
      <c r="B197" s="70"/>
      <c r="C197" s="70"/>
      <c r="D197" s="70"/>
      <c r="E197" s="49"/>
      <c r="F197" s="49"/>
      <c r="G197" s="49"/>
      <c r="H197" s="49" t="str">
        <f aca="false">IF(F197&gt;0,G197/F197,"")</f>
        <v/>
      </c>
    </row>
    <row r="198" customFormat="false" ht="15" hidden="false" customHeight="true" outlineLevel="0" collapsed="false">
      <c r="A198" s="68"/>
      <c r="B198" s="68"/>
      <c r="C198" s="68"/>
      <c r="D198" s="68"/>
      <c r="E198" s="47"/>
      <c r="F198" s="47"/>
      <c r="G198" s="47"/>
      <c r="H198" s="47" t="str">
        <f aca="false">IF(F198&gt;0,G198/F198,"")</f>
        <v/>
      </c>
    </row>
    <row r="199" customFormat="false" ht="15" hidden="false" customHeight="true" outlineLevel="0" collapsed="false">
      <c r="A199" s="70"/>
      <c r="B199" s="70"/>
      <c r="C199" s="70"/>
      <c r="D199" s="70"/>
      <c r="E199" s="49"/>
      <c r="F199" s="49"/>
      <c r="G199" s="49"/>
      <c r="H199" s="49" t="str">
        <f aca="false">IF(F199&gt;0,G199/F199,"")</f>
        <v/>
      </c>
    </row>
    <row r="200" customFormat="false" ht="15" hidden="false" customHeight="true" outlineLevel="0" collapsed="false">
      <c r="A200" s="68"/>
      <c r="B200" s="68"/>
      <c r="C200" s="68"/>
      <c r="D200" s="68"/>
      <c r="E200" s="47"/>
      <c r="F200" s="47"/>
      <c r="G200" s="47"/>
      <c r="H200" s="47" t="str">
        <f aca="false">IF(F200&gt;0,G200/F200,"")</f>
        <v/>
      </c>
    </row>
    <row r="201" customFormat="false" ht="15" hidden="false" customHeight="true" outlineLevel="0" collapsed="false">
      <c r="A201" s="70"/>
      <c r="B201" s="70"/>
      <c r="C201" s="70"/>
      <c r="D201" s="70"/>
      <c r="E201" s="49"/>
      <c r="F201" s="49"/>
      <c r="G201" s="49"/>
      <c r="H201" s="49" t="str">
        <f aca="false">IF(F201&gt;0,G201/F201,"")</f>
        <v/>
      </c>
    </row>
    <row r="202" customFormat="false" ht="15" hidden="false" customHeight="true" outlineLevel="0" collapsed="false">
      <c r="A202" s="68"/>
      <c r="B202" s="68"/>
      <c r="C202" s="68"/>
      <c r="D202" s="68"/>
      <c r="E202" s="47"/>
      <c r="F202" s="47"/>
      <c r="G202" s="47"/>
      <c r="H202" s="47" t="str">
        <f aca="false">IF(F202&gt;0,G202/F202,"")</f>
        <v/>
      </c>
    </row>
    <row r="203" customFormat="false" ht="15" hidden="false" customHeight="true" outlineLevel="0" collapsed="false">
      <c r="A203" s="70"/>
      <c r="B203" s="70"/>
      <c r="C203" s="70"/>
      <c r="D203" s="70"/>
      <c r="E203" s="49"/>
      <c r="F203" s="49"/>
      <c r="G203" s="49"/>
      <c r="H203" s="49" t="str">
        <f aca="false">IF(F203&gt;0,G203/F203,"")</f>
        <v/>
      </c>
    </row>
    <row r="204" customFormat="false" ht="15" hidden="false" customHeight="true" outlineLevel="0" collapsed="false">
      <c r="A204" s="68"/>
      <c r="B204" s="68"/>
      <c r="C204" s="68"/>
      <c r="D204" s="68"/>
      <c r="E204" s="47"/>
      <c r="F204" s="47"/>
      <c r="G204" s="47"/>
      <c r="H204" s="47" t="str">
        <f aca="false">IF(F204&gt;0,G204/F204,"")</f>
        <v/>
      </c>
    </row>
    <row r="205" customFormat="false" ht="15" hidden="false" customHeight="true" outlineLevel="0" collapsed="false">
      <c r="A205" s="70"/>
      <c r="B205" s="70"/>
      <c r="C205" s="70"/>
      <c r="D205" s="70"/>
      <c r="E205" s="49"/>
      <c r="F205" s="49"/>
      <c r="G205" s="49"/>
      <c r="H205" s="49" t="str">
        <f aca="false">IF(F205&gt;0,G205/F205,"")</f>
        <v/>
      </c>
    </row>
    <row r="206" customFormat="false" ht="15" hidden="false" customHeight="true" outlineLevel="0" collapsed="false">
      <c r="A206" s="68"/>
      <c r="B206" s="68"/>
      <c r="C206" s="68"/>
      <c r="D206" s="68"/>
      <c r="E206" s="47"/>
      <c r="F206" s="47"/>
      <c r="G206" s="47"/>
      <c r="H206" s="47" t="str">
        <f aca="false">IF(F206&gt;0,G206/F206,"")</f>
        <v/>
      </c>
    </row>
    <row r="207" customFormat="false" ht="15" hidden="false" customHeight="true" outlineLevel="0" collapsed="false">
      <c r="A207" s="70"/>
      <c r="B207" s="70"/>
      <c r="C207" s="70"/>
      <c r="D207" s="70"/>
      <c r="E207" s="49"/>
      <c r="F207" s="49"/>
      <c r="G207" s="49"/>
      <c r="H207" s="49" t="str">
        <f aca="false">IF(F207&gt;0,G207/F207,"")</f>
        <v/>
      </c>
    </row>
    <row r="208" customFormat="false" ht="15" hidden="false" customHeight="true" outlineLevel="0" collapsed="false">
      <c r="A208" s="68"/>
      <c r="B208" s="68"/>
      <c r="C208" s="68"/>
      <c r="D208" s="68"/>
      <c r="E208" s="47"/>
      <c r="F208" s="47"/>
      <c r="G208" s="47"/>
      <c r="H208" s="47" t="str">
        <f aca="false">IF(F208&gt;0,G208/F208,"")</f>
        <v/>
      </c>
    </row>
    <row r="209" customFormat="false" ht="15" hidden="false" customHeight="true" outlineLevel="0" collapsed="false">
      <c r="A209" s="70"/>
      <c r="B209" s="70"/>
      <c r="C209" s="70"/>
      <c r="D209" s="70"/>
      <c r="E209" s="49"/>
      <c r="F209" s="49"/>
      <c r="G209" s="49"/>
      <c r="H209" s="49" t="str">
        <f aca="false">IF(F209&gt;0,G209/F209,"")</f>
        <v/>
      </c>
    </row>
    <row r="210" customFormat="false" ht="15" hidden="false" customHeight="true" outlineLevel="0" collapsed="false">
      <c r="A210" s="68"/>
      <c r="B210" s="68"/>
      <c r="C210" s="68"/>
      <c r="D210" s="68"/>
      <c r="E210" s="47"/>
      <c r="F210" s="47"/>
      <c r="G210" s="47"/>
      <c r="H210" s="47" t="str">
        <f aca="false">IF(F210&gt;0,G210/F210,"")</f>
        <v/>
      </c>
    </row>
    <row r="211" customFormat="false" ht="15" hidden="false" customHeight="true" outlineLevel="0" collapsed="false">
      <c r="A211" s="70"/>
      <c r="B211" s="70"/>
      <c r="C211" s="70"/>
      <c r="D211" s="70"/>
      <c r="E211" s="49"/>
      <c r="F211" s="49"/>
      <c r="G211" s="49"/>
      <c r="H211" s="49" t="str">
        <f aca="false">IF(F211&gt;0,G211/F211,"")</f>
        <v/>
      </c>
    </row>
    <row r="212" customFormat="false" ht="15" hidden="false" customHeight="true" outlineLevel="0" collapsed="false">
      <c r="A212" s="68"/>
      <c r="B212" s="68"/>
      <c r="C212" s="68"/>
      <c r="D212" s="68"/>
      <c r="E212" s="47"/>
      <c r="F212" s="47"/>
      <c r="G212" s="47"/>
      <c r="H212" s="47" t="str">
        <f aca="false">IF(F212&gt;0,G212/F212,"")</f>
        <v/>
      </c>
    </row>
    <row r="213" customFormat="false" ht="15" hidden="false" customHeight="true" outlineLevel="0" collapsed="false">
      <c r="A213" s="70"/>
      <c r="B213" s="70"/>
      <c r="C213" s="70"/>
      <c r="D213" s="70"/>
      <c r="E213" s="49"/>
      <c r="F213" s="49"/>
      <c r="G213" s="49"/>
      <c r="H213" s="49" t="str">
        <f aca="false">IF(F213&gt;0,G213/F213,"")</f>
        <v/>
      </c>
    </row>
    <row r="214" customFormat="false" ht="15" hidden="false" customHeight="true" outlineLevel="0" collapsed="false">
      <c r="A214" s="68"/>
      <c r="B214" s="68"/>
      <c r="C214" s="68"/>
      <c r="D214" s="68"/>
      <c r="E214" s="47"/>
      <c r="F214" s="47"/>
      <c r="G214" s="47"/>
      <c r="H214" s="47" t="str">
        <f aca="false">IF(F214&gt;0,G214/F214,"")</f>
        <v/>
      </c>
    </row>
    <row r="215" customFormat="false" ht="15" hidden="false" customHeight="true" outlineLevel="0" collapsed="false">
      <c r="A215" s="70"/>
      <c r="B215" s="70"/>
      <c r="C215" s="70"/>
      <c r="D215" s="70"/>
      <c r="E215" s="49"/>
      <c r="F215" s="49"/>
      <c r="G215" s="49"/>
      <c r="H215" s="49" t="str">
        <f aca="false">IF(F215&gt;0,G215/F215,"")</f>
        <v/>
      </c>
    </row>
    <row r="216" customFormat="false" ht="15" hidden="false" customHeight="true" outlineLevel="0" collapsed="false">
      <c r="A216" s="68"/>
      <c r="B216" s="68"/>
      <c r="C216" s="68"/>
      <c r="D216" s="68"/>
      <c r="E216" s="47"/>
      <c r="F216" s="47"/>
      <c r="G216" s="47"/>
      <c r="H216" s="47" t="str">
        <f aca="false">IF(F216&gt;0,G216/F216,"")</f>
        <v/>
      </c>
    </row>
    <row r="217" customFormat="false" ht="15" hidden="false" customHeight="true" outlineLevel="0" collapsed="false">
      <c r="A217" s="70"/>
      <c r="B217" s="70"/>
      <c r="C217" s="70"/>
      <c r="D217" s="70"/>
      <c r="E217" s="49"/>
      <c r="F217" s="49"/>
      <c r="G217" s="49"/>
      <c r="H217" s="49" t="str">
        <f aca="false">IF(F217&gt;0,G217/F217,"")</f>
        <v/>
      </c>
    </row>
    <row r="218" customFormat="false" ht="15" hidden="false" customHeight="true" outlineLevel="0" collapsed="false">
      <c r="A218" s="68"/>
      <c r="B218" s="68"/>
      <c r="C218" s="68"/>
      <c r="D218" s="68"/>
      <c r="E218" s="47"/>
      <c r="F218" s="47"/>
      <c r="G218" s="47"/>
      <c r="H218" s="47" t="str">
        <f aca="false">IF(F218&gt;0,G218/F218,"")</f>
        <v/>
      </c>
    </row>
    <row r="219" customFormat="false" ht="15" hidden="false" customHeight="true" outlineLevel="0" collapsed="false">
      <c r="A219" s="70"/>
      <c r="B219" s="70"/>
      <c r="C219" s="70"/>
      <c r="D219" s="70"/>
      <c r="E219" s="49"/>
      <c r="F219" s="49"/>
      <c r="G219" s="49"/>
      <c r="H219" s="49" t="str">
        <f aca="false">IF(F219&gt;0,G219/F219,"")</f>
        <v/>
      </c>
    </row>
    <row r="220" customFormat="false" ht="15" hidden="false" customHeight="true" outlineLevel="0" collapsed="false">
      <c r="A220" s="68"/>
      <c r="B220" s="68"/>
      <c r="C220" s="68"/>
      <c r="D220" s="68"/>
      <c r="E220" s="47"/>
      <c r="F220" s="47"/>
      <c r="G220" s="47"/>
      <c r="H220" s="47" t="str">
        <f aca="false">IF(F220&gt;0,G220/F220,"")</f>
        <v/>
      </c>
    </row>
    <row r="221" customFormat="false" ht="15" hidden="false" customHeight="true" outlineLevel="0" collapsed="false">
      <c r="A221" s="70"/>
      <c r="B221" s="70"/>
      <c r="C221" s="70"/>
      <c r="D221" s="70"/>
      <c r="E221" s="49"/>
      <c r="F221" s="49"/>
      <c r="G221" s="49"/>
      <c r="H221" s="49" t="str">
        <f aca="false">IF(F221&gt;0,G221/F221,"")</f>
        <v/>
      </c>
    </row>
    <row r="222" customFormat="false" ht="15" hidden="false" customHeight="true" outlineLevel="0" collapsed="false">
      <c r="A222" s="68"/>
      <c r="B222" s="68"/>
      <c r="C222" s="68"/>
      <c r="D222" s="68"/>
      <c r="E222" s="47"/>
      <c r="F222" s="47"/>
      <c r="G222" s="47"/>
      <c r="H222" s="47" t="str">
        <f aca="false">IF(F222&gt;0,G222/F222,"")</f>
        <v/>
      </c>
    </row>
    <row r="223" customFormat="false" ht="15" hidden="false" customHeight="true" outlineLevel="0" collapsed="false">
      <c r="A223" s="70"/>
      <c r="B223" s="70"/>
      <c r="C223" s="70"/>
      <c r="D223" s="70"/>
      <c r="E223" s="49"/>
      <c r="F223" s="49"/>
      <c r="G223" s="49"/>
      <c r="H223" s="49" t="str">
        <f aca="false">IF(F223&gt;0,G223/F223,"")</f>
        <v/>
      </c>
    </row>
    <row r="224" customFormat="false" ht="15" hidden="false" customHeight="true" outlineLevel="0" collapsed="false">
      <c r="A224" s="68"/>
      <c r="B224" s="68"/>
      <c r="C224" s="68"/>
      <c r="D224" s="68"/>
      <c r="E224" s="47"/>
      <c r="F224" s="47"/>
      <c r="G224" s="47"/>
      <c r="H224" s="47" t="str">
        <f aca="false">IF(F224&gt;0,G224/F224,"")</f>
        <v/>
      </c>
    </row>
    <row r="225" customFormat="false" ht="15" hidden="false" customHeight="true" outlineLevel="0" collapsed="false">
      <c r="A225" s="70"/>
      <c r="B225" s="70"/>
      <c r="C225" s="70"/>
      <c r="D225" s="70"/>
      <c r="E225" s="49"/>
      <c r="F225" s="49"/>
      <c r="G225" s="49"/>
      <c r="H225" s="49" t="str">
        <f aca="false">IF(F225&gt;0,G225/F225,"")</f>
        <v/>
      </c>
    </row>
    <row r="226" customFormat="false" ht="15" hidden="false" customHeight="true" outlineLevel="0" collapsed="false">
      <c r="A226" s="68"/>
      <c r="B226" s="68"/>
      <c r="C226" s="68"/>
      <c r="D226" s="68"/>
      <c r="E226" s="47"/>
      <c r="F226" s="47"/>
      <c r="G226" s="47"/>
      <c r="H226" s="47" t="str">
        <f aca="false">IF(F226&gt;0,G226/F226,"")</f>
        <v/>
      </c>
    </row>
    <row r="227" customFormat="false" ht="15" hidden="false" customHeight="true" outlineLevel="0" collapsed="false">
      <c r="A227" s="70"/>
      <c r="B227" s="70"/>
      <c r="C227" s="70"/>
      <c r="D227" s="70"/>
      <c r="E227" s="49"/>
      <c r="F227" s="49"/>
      <c r="G227" s="49"/>
      <c r="H227" s="49" t="str">
        <f aca="false">IF(F227&gt;0,G227/F227,"")</f>
        <v/>
      </c>
    </row>
    <row r="228" customFormat="false" ht="15" hidden="false" customHeight="true" outlineLevel="0" collapsed="false">
      <c r="A228" s="68"/>
      <c r="B228" s="68"/>
      <c r="C228" s="68"/>
      <c r="D228" s="68"/>
      <c r="E228" s="47"/>
      <c r="F228" s="47"/>
      <c r="G228" s="47"/>
      <c r="H228" s="47" t="str">
        <f aca="false">IF(F228&gt;0,G228/F228,"")</f>
        <v/>
      </c>
    </row>
    <row r="229" customFormat="false" ht="15" hidden="false" customHeight="true" outlineLevel="0" collapsed="false">
      <c r="A229" s="70"/>
      <c r="B229" s="70"/>
      <c r="C229" s="70"/>
      <c r="D229" s="70"/>
      <c r="E229" s="49"/>
      <c r="F229" s="49"/>
      <c r="G229" s="49"/>
      <c r="H229" s="49" t="str">
        <f aca="false">IF(F229&gt;0,G229/F229,"")</f>
        <v/>
      </c>
    </row>
    <row r="230" customFormat="false" ht="15" hidden="false" customHeight="true" outlineLevel="0" collapsed="false">
      <c r="A230" s="68"/>
      <c r="B230" s="68"/>
      <c r="C230" s="68"/>
      <c r="D230" s="68"/>
      <c r="E230" s="47"/>
      <c r="F230" s="47"/>
      <c r="G230" s="47"/>
      <c r="H230" s="47" t="str">
        <f aca="false">IF(F230&gt;0,G230/F230,"")</f>
        <v/>
      </c>
    </row>
    <row r="231" customFormat="false" ht="15" hidden="false" customHeight="true" outlineLevel="0" collapsed="false">
      <c r="A231" s="70"/>
      <c r="B231" s="70"/>
      <c r="C231" s="70"/>
      <c r="D231" s="70"/>
      <c r="E231" s="49"/>
      <c r="F231" s="49"/>
      <c r="G231" s="49"/>
      <c r="H231" s="49" t="str">
        <f aca="false">IF(F231&gt;0,G231/F231,"")</f>
        <v/>
      </c>
    </row>
    <row r="232" customFormat="false" ht="15" hidden="false" customHeight="true" outlineLevel="0" collapsed="false">
      <c r="A232" s="68"/>
      <c r="B232" s="68"/>
      <c r="C232" s="68"/>
      <c r="D232" s="68"/>
      <c r="E232" s="47"/>
      <c r="F232" s="47"/>
      <c r="G232" s="47"/>
      <c r="H232" s="47" t="str">
        <f aca="false">IF(F232&gt;0,G232/F232,"")</f>
        <v/>
      </c>
    </row>
    <row r="233" customFormat="false" ht="15" hidden="false" customHeight="true" outlineLevel="0" collapsed="false">
      <c r="A233" s="70"/>
      <c r="B233" s="70"/>
      <c r="C233" s="70"/>
      <c r="D233" s="70"/>
      <c r="E233" s="49"/>
      <c r="F233" s="49"/>
      <c r="G233" s="49"/>
      <c r="H233" s="49" t="str">
        <f aca="false">IF(F233&gt;0,G233/F233,"")</f>
        <v/>
      </c>
    </row>
    <row r="234" customFormat="false" ht="15" hidden="false" customHeight="true" outlineLevel="0" collapsed="false">
      <c r="A234" s="68"/>
      <c r="B234" s="68"/>
      <c r="C234" s="68"/>
      <c r="D234" s="68"/>
      <c r="E234" s="47"/>
      <c r="F234" s="47"/>
      <c r="G234" s="47"/>
      <c r="H234" s="47" t="str">
        <f aca="false">IF(F234&gt;0,G234/F234,"")</f>
        <v/>
      </c>
    </row>
    <row r="235" customFormat="false" ht="15" hidden="false" customHeight="true" outlineLevel="0" collapsed="false">
      <c r="A235" s="70"/>
      <c r="B235" s="70"/>
      <c r="C235" s="70"/>
      <c r="D235" s="70"/>
      <c r="E235" s="49"/>
      <c r="F235" s="49"/>
      <c r="G235" s="49"/>
      <c r="H235" s="49" t="str">
        <f aca="false">IF(F235&gt;0,G235/F235,"")</f>
        <v/>
      </c>
    </row>
    <row r="236" customFormat="false" ht="15" hidden="false" customHeight="true" outlineLevel="0" collapsed="false">
      <c r="A236" s="68"/>
      <c r="B236" s="68"/>
      <c r="C236" s="68"/>
      <c r="D236" s="68"/>
      <c r="E236" s="47"/>
      <c r="F236" s="47"/>
      <c r="G236" s="47"/>
      <c r="H236" s="47" t="str">
        <f aca="false">IF(F236&gt;0,G236/F236,"")</f>
        <v/>
      </c>
    </row>
    <row r="237" customFormat="false" ht="15" hidden="false" customHeight="true" outlineLevel="0" collapsed="false">
      <c r="A237" s="70"/>
      <c r="B237" s="70"/>
      <c r="C237" s="70"/>
      <c r="D237" s="70"/>
      <c r="E237" s="49"/>
      <c r="F237" s="49"/>
      <c r="G237" s="49"/>
      <c r="H237" s="49" t="str">
        <f aca="false">IF(F237&gt;0,G237/F237,"")</f>
        <v/>
      </c>
    </row>
    <row r="238" customFormat="false" ht="15" hidden="false" customHeight="true" outlineLevel="0" collapsed="false">
      <c r="A238" s="68"/>
      <c r="B238" s="68"/>
      <c r="C238" s="68"/>
      <c r="D238" s="68"/>
      <c r="E238" s="47"/>
      <c r="F238" s="47"/>
      <c r="G238" s="47"/>
      <c r="H238" s="47" t="str">
        <f aca="false">IF(F238&gt;0,G238/F238,"")</f>
        <v/>
      </c>
    </row>
    <row r="239" customFormat="false" ht="15" hidden="false" customHeight="true" outlineLevel="0" collapsed="false">
      <c r="A239" s="70"/>
      <c r="B239" s="70"/>
      <c r="C239" s="70"/>
      <c r="D239" s="70"/>
      <c r="E239" s="49"/>
      <c r="F239" s="49"/>
      <c r="G239" s="49"/>
      <c r="H239" s="49" t="str">
        <f aca="false">IF(F239&gt;0,G239/F239,"")</f>
        <v/>
      </c>
    </row>
    <row r="240" customFormat="false" ht="15" hidden="false" customHeight="true" outlineLevel="0" collapsed="false">
      <c r="A240" s="68"/>
      <c r="B240" s="68"/>
      <c r="C240" s="68"/>
      <c r="D240" s="68"/>
      <c r="E240" s="47"/>
      <c r="F240" s="47"/>
      <c r="G240" s="47"/>
      <c r="H240" s="47" t="str">
        <f aca="false">IF(F240&gt;0,G240/F240,"")</f>
        <v/>
      </c>
    </row>
    <row r="241" customFormat="false" ht="15" hidden="false" customHeight="true" outlineLevel="0" collapsed="false">
      <c r="A241" s="70"/>
      <c r="B241" s="70"/>
      <c r="C241" s="70"/>
      <c r="D241" s="70"/>
      <c r="E241" s="49"/>
      <c r="F241" s="49"/>
      <c r="G241" s="49"/>
      <c r="H241" s="49" t="str">
        <f aca="false">IF(F241&gt;0,G241/F241,"")</f>
        <v/>
      </c>
    </row>
    <row r="242" customFormat="false" ht="15" hidden="false" customHeight="true" outlineLevel="0" collapsed="false">
      <c r="A242" s="68"/>
      <c r="B242" s="68"/>
      <c r="C242" s="68"/>
      <c r="D242" s="68"/>
      <c r="E242" s="47"/>
      <c r="F242" s="47"/>
      <c r="G242" s="47"/>
      <c r="H242" s="47" t="str">
        <f aca="false">IF(F242&gt;0,G242/F242,"")</f>
        <v/>
      </c>
    </row>
    <row r="243" customFormat="false" ht="15" hidden="false" customHeight="true" outlineLevel="0" collapsed="false">
      <c r="A243" s="70"/>
      <c r="B243" s="70"/>
      <c r="C243" s="70"/>
      <c r="D243" s="70"/>
      <c r="E243" s="49"/>
      <c r="F243" s="49"/>
      <c r="G243" s="49"/>
      <c r="H243" s="49" t="str">
        <f aca="false">IF(F243&gt;0,G243/F243,"")</f>
        <v/>
      </c>
    </row>
    <row r="244" customFormat="false" ht="15" hidden="false" customHeight="true" outlineLevel="0" collapsed="false">
      <c r="A244" s="68"/>
      <c r="B244" s="68"/>
      <c r="C244" s="68"/>
      <c r="D244" s="68"/>
      <c r="E244" s="47"/>
      <c r="F244" s="47"/>
      <c r="G244" s="47"/>
      <c r="H244" s="47" t="str">
        <f aca="false">IF(F244&gt;0,G244/F244,"")</f>
        <v/>
      </c>
    </row>
    <row r="245" customFormat="false" ht="15" hidden="false" customHeight="true" outlineLevel="0" collapsed="false">
      <c r="A245" s="70"/>
      <c r="B245" s="70"/>
      <c r="C245" s="70"/>
      <c r="D245" s="70"/>
      <c r="E245" s="49"/>
      <c r="F245" s="49"/>
      <c r="G245" s="49"/>
      <c r="H245" s="49" t="str">
        <f aca="false">IF(F245&gt;0,G245/F245,"")</f>
        <v/>
      </c>
    </row>
    <row r="246" customFormat="false" ht="15" hidden="false" customHeight="true" outlineLevel="0" collapsed="false">
      <c r="A246" s="68"/>
      <c r="B246" s="68"/>
      <c r="C246" s="68"/>
      <c r="D246" s="68"/>
      <c r="E246" s="47"/>
      <c r="F246" s="47"/>
      <c r="G246" s="47"/>
      <c r="H246" s="47" t="str">
        <f aca="false">IF(F246&gt;0,G246/F246,"")</f>
        <v/>
      </c>
    </row>
    <row r="247" customFormat="false" ht="15" hidden="false" customHeight="true" outlineLevel="0" collapsed="false">
      <c r="A247" s="70"/>
      <c r="B247" s="70"/>
      <c r="C247" s="70"/>
      <c r="D247" s="70"/>
      <c r="E247" s="49"/>
      <c r="F247" s="49"/>
      <c r="G247" s="49"/>
      <c r="H247" s="49" t="str">
        <f aca="false">IF(F247&gt;0,G247/F247,"")</f>
        <v/>
      </c>
    </row>
    <row r="248" customFormat="false" ht="15" hidden="false" customHeight="true" outlineLevel="0" collapsed="false">
      <c r="A248" s="68"/>
      <c r="B248" s="68"/>
      <c r="C248" s="68"/>
      <c r="D248" s="68"/>
      <c r="E248" s="47"/>
      <c r="F248" s="47"/>
      <c r="G248" s="47"/>
      <c r="H248" s="47" t="str">
        <f aca="false">IF(F248&gt;0,G248/F248,"")</f>
        <v/>
      </c>
    </row>
    <row r="249" customFormat="false" ht="15" hidden="false" customHeight="true" outlineLevel="0" collapsed="false">
      <c r="A249" s="70"/>
      <c r="B249" s="70"/>
      <c r="C249" s="70"/>
      <c r="D249" s="70"/>
      <c r="E249" s="49"/>
      <c r="F249" s="49"/>
      <c r="G249" s="49"/>
      <c r="H249" s="49" t="str">
        <f aca="false">IF(F249&gt;0,G249/F249,"")</f>
        <v/>
      </c>
    </row>
    <row r="250" customFormat="false" ht="15" hidden="false" customHeight="true" outlineLevel="0" collapsed="false">
      <c r="A250" s="68"/>
      <c r="B250" s="68"/>
      <c r="C250" s="68"/>
      <c r="D250" s="68"/>
      <c r="E250" s="47"/>
      <c r="F250" s="47"/>
      <c r="G250" s="47"/>
      <c r="H250" s="47" t="str">
        <f aca="false">IF(F250&gt;0,G250/F250,"")</f>
        <v/>
      </c>
    </row>
    <row r="251" customFormat="false" ht="15" hidden="false" customHeight="true" outlineLevel="0" collapsed="false">
      <c r="A251" s="70"/>
      <c r="B251" s="70"/>
      <c r="C251" s="70"/>
      <c r="D251" s="70"/>
      <c r="E251" s="49"/>
      <c r="F251" s="49"/>
      <c r="G251" s="49"/>
      <c r="H251" s="49" t="str">
        <f aca="false">IF(F251&gt;0,G251/F251,"")</f>
        <v/>
      </c>
    </row>
    <row r="252" customFormat="false" ht="15" hidden="false" customHeight="true" outlineLevel="0" collapsed="false">
      <c r="A252" s="68"/>
      <c r="B252" s="68"/>
      <c r="C252" s="68"/>
      <c r="D252" s="68"/>
      <c r="E252" s="47"/>
      <c r="F252" s="47"/>
      <c r="G252" s="47"/>
      <c r="H252" s="47" t="str">
        <f aca="false">IF(F252&gt;0,G252/F252,"")</f>
        <v/>
      </c>
    </row>
    <row r="253" customFormat="false" ht="15" hidden="false" customHeight="true" outlineLevel="0" collapsed="false">
      <c r="A253" s="70"/>
      <c r="B253" s="70"/>
      <c r="C253" s="70"/>
      <c r="D253" s="70"/>
      <c r="E253" s="49"/>
      <c r="F253" s="49"/>
      <c r="G253" s="49"/>
      <c r="H253" s="49" t="str">
        <f aca="false">IF(F253&gt;0,G253/F253,"")</f>
        <v/>
      </c>
    </row>
    <row r="254" customFormat="false" ht="15" hidden="false" customHeight="true" outlineLevel="0" collapsed="false">
      <c r="A254" s="68"/>
      <c r="B254" s="68"/>
      <c r="C254" s="68"/>
      <c r="D254" s="68"/>
      <c r="E254" s="47"/>
      <c r="F254" s="47"/>
      <c r="G254" s="47"/>
      <c r="H254" s="47" t="str">
        <f aca="false">IF(F254&gt;0,G254/F254,"")</f>
        <v/>
      </c>
    </row>
    <row r="255" customFormat="false" ht="15" hidden="false" customHeight="true" outlineLevel="0" collapsed="false">
      <c r="A255" s="70"/>
      <c r="B255" s="70"/>
      <c r="C255" s="70"/>
      <c r="D255" s="70"/>
      <c r="E255" s="49"/>
      <c r="F255" s="49"/>
      <c r="G255" s="49"/>
      <c r="H255" s="49" t="str">
        <f aca="false">IF(F255&gt;0,G255/F255,"")</f>
        <v/>
      </c>
    </row>
    <row r="256" customFormat="false" ht="15" hidden="false" customHeight="true" outlineLevel="0" collapsed="false">
      <c r="A256" s="68"/>
      <c r="B256" s="68"/>
      <c r="C256" s="68"/>
      <c r="D256" s="68"/>
      <c r="E256" s="47"/>
      <c r="F256" s="47"/>
      <c r="G256" s="47"/>
      <c r="H256" s="47" t="str">
        <f aca="false">IF(F256&gt;0,G256/F256,"")</f>
        <v/>
      </c>
    </row>
    <row r="257" customFormat="false" ht="15" hidden="false" customHeight="true" outlineLevel="0" collapsed="false">
      <c r="A257" s="70"/>
      <c r="B257" s="70"/>
      <c r="C257" s="70"/>
      <c r="D257" s="70"/>
      <c r="E257" s="49"/>
      <c r="F257" s="49"/>
      <c r="G257" s="49"/>
      <c r="H257" s="49" t="str">
        <f aca="false">IF(F257&gt;0,G257/F257,"")</f>
        <v/>
      </c>
    </row>
    <row r="258" customFormat="false" ht="15" hidden="false" customHeight="true" outlineLevel="0" collapsed="false">
      <c r="A258" s="68"/>
      <c r="B258" s="68"/>
      <c r="C258" s="68"/>
      <c r="D258" s="68"/>
      <c r="E258" s="47"/>
      <c r="F258" s="47"/>
      <c r="G258" s="47"/>
      <c r="H258" s="47" t="str">
        <f aca="false">IF(F258&gt;0,G258/F258,"")</f>
        <v/>
      </c>
    </row>
    <row r="259" customFormat="false" ht="15" hidden="false" customHeight="true" outlineLevel="0" collapsed="false">
      <c r="A259" s="70"/>
      <c r="B259" s="70"/>
      <c r="C259" s="70"/>
      <c r="D259" s="70"/>
      <c r="E259" s="49"/>
      <c r="F259" s="49"/>
      <c r="G259" s="49"/>
      <c r="H259" s="49" t="str">
        <f aca="false">IF(F259&gt;0,G259/F259,"")</f>
        <v/>
      </c>
    </row>
    <row r="260" customFormat="false" ht="15" hidden="false" customHeight="true" outlineLevel="0" collapsed="false">
      <c r="A260" s="68"/>
      <c r="B260" s="68"/>
      <c r="C260" s="68"/>
      <c r="D260" s="68"/>
      <c r="E260" s="47"/>
      <c r="F260" s="47"/>
      <c r="G260" s="47"/>
      <c r="H260" s="47" t="str">
        <f aca="false">IF(F260&gt;0,G260/F260,"")</f>
        <v/>
      </c>
    </row>
    <row r="261" customFormat="false" ht="15" hidden="false" customHeight="true" outlineLevel="0" collapsed="false">
      <c r="A261" s="70"/>
      <c r="B261" s="70"/>
      <c r="C261" s="70"/>
      <c r="D261" s="70"/>
      <c r="E261" s="49"/>
      <c r="F261" s="49"/>
      <c r="G261" s="49"/>
      <c r="H261" s="49" t="str">
        <f aca="false">IF(F261&gt;0,G261/F261,"")</f>
        <v/>
      </c>
    </row>
    <row r="262" customFormat="false" ht="15" hidden="false" customHeight="true" outlineLevel="0" collapsed="false">
      <c r="A262" s="68"/>
      <c r="B262" s="68"/>
      <c r="C262" s="68"/>
      <c r="D262" s="68"/>
      <c r="E262" s="47"/>
      <c r="F262" s="47"/>
      <c r="G262" s="47"/>
      <c r="H262" s="47" t="str">
        <f aca="false">IF(F262&gt;0,G262/F262,"")</f>
        <v/>
      </c>
    </row>
    <row r="263" customFormat="false" ht="15" hidden="false" customHeight="true" outlineLevel="0" collapsed="false">
      <c r="A263" s="70"/>
      <c r="B263" s="70"/>
      <c r="C263" s="70"/>
      <c r="D263" s="70"/>
      <c r="E263" s="49"/>
      <c r="F263" s="49"/>
      <c r="G263" s="49"/>
      <c r="H263" s="49" t="str">
        <f aca="false">IF(F263&gt;0,G263/F263,"")</f>
        <v/>
      </c>
    </row>
    <row r="264" customFormat="false" ht="15" hidden="false" customHeight="true" outlineLevel="0" collapsed="false">
      <c r="A264" s="68"/>
      <c r="B264" s="68"/>
      <c r="C264" s="68"/>
      <c r="D264" s="68"/>
      <c r="E264" s="47"/>
      <c r="F264" s="47"/>
      <c r="G264" s="47"/>
      <c r="H264" s="47" t="str">
        <f aca="false">IF(F264&gt;0,G264/F264,"")</f>
        <v/>
      </c>
    </row>
    <row r="265" customFormat="false" ht="15" hidden="false" customHeight="true" outlineLevel="0" collapsed="false">
      <c r="A265" s="70"/>
      <c r="B265" s="70"/>
      <c r="C265" s="70"/>
      <c r="D265" s="70"/>
      <c r="E265" s="49"/>
      <c r="F265" s="49"/>
      <c r="G265" s="49"/>
      <c r="H265" s="49" t="str">
        <f aca="false">IF(F265&gt;0,G265/F265,"")</f>
        <v/>
      </c>
    </row>
    <row r="266" customFormat="false" ht="15" hidden="false" customHeight="true" outlineLevel="0" collapsed="false">
      <c r="A266" s="68"/>
      <c r="B266" s="68"/>
      <c r="C266" s="68"/>
      <c r="D266" s="68"/>
      <c r="E266" s="47"/>
      <c r="F266" s="47"/>
      <c r="G266" s="47"/>
      <c r="H266" s="47" t="str">
        <f aca="false">IF(F266&gt;0,G266/F266,"")</f>
        <v/>
      </c>
    </row>
    <row r="267" customFormat="false" ht="15" hidden="false" customHeight="true" outlineLevel="0" collapsed="false">
      <c r="A267" s="70"/>
      <c r="B267" s="70"/>
      <c r="C267" s="70"/>
      <c r="D267" s="70"/>
      <c r="E267" s="49"/>
      <c r="F267" s="49"/>
      <c r="G267" s="49"/>
      <c r="H267" s="49" t="str">
        <f aca="false">IF(F267&gt;0,G267/F267,"")</f>
        <v/>
      </c>
    </row>
    <row r="268" customFormat="false" ht="15" hidden="false" customHeight="true" outlineLevel="0" collapsed="false">
      <c r="A268" s="68"/>
      <c r="B268" s="68"/>
      <c r="C268" s="68"/>
      <c r="D268" s="68"/>
      <c r="E268" s="47"/>
      <c r="F268" s="47"/>
      <c r="G268" s="47"/>
      <c r="H268" s="47" t="str">
        <f aca="false">IF(F268&gt;0,G268/F268,"")</f>
        <v/>
      </c>
    </row>
    <row r="269" customFormat="false" ht="15" hidden="false" customHeight="true" outlineLevel="0" collapsed="false">
      <c r="A269" s="70"/>
      <c r="B269" s="70"/>
      <c r="C269" s="70"/>
      <c r="D269" s="70"/>
      <c r="E269" s="49"/>
      <c r="F269" s="49"/>
      <c r="G269" s="49"/>
      <c r="H269" s="49" t="str">
        <f aca="false">IF(F269&gt;0,G269/F269,"")</f>
        <v/>
      </c>
    </row>
    <row r="270" customFormat="false" ht="15" hidden="false" customHeight="true" outlineLevel="0" collapsed="false">
      <c r="A270" s="68"/>
      <c r="B270" s="68"/>
      <c r="C270" s="68"/>
      <c r="D270" s="68"/>
      <c r="E270" s="47"/>
      <c r="F270" s="47"/>
      <c r="G270" s="47"/>
      <c r="H270" s="47" t="str">
        <f aca="false">IF(F270&gt;0,G270/F270,"")</f>
        <v/>
      </c>
    </row>
    <row r="271" customFormat="false" ht="15" hidden="false" customHeight="true" outlineLevel="0" collapsed="false">
      <c r="A271" s="70"/>
      <c r="B271" s="70"/>
      <c r="C271" s="70"/>
      <c r="D271" s="70"/>
      <c r="E271" s="49"/>
      <c r="F271" s="49"/>
      <c r="G271" s="49"/>
      <c r="H271" s="49" t="str">
        <f aca="false">IF(F271&gt;0,G271/F271,"")</f>
        <v/>
      </c>
    </row>
    <row r="272" customFormat="false" ht="15" hidden="false" customHeight="true" outlineLevel="0" collapsed="false">
      <c r="A272" s="68"/>
      <c r="B272" s="68"/>
      <c r="C272" s="68"/>
      <c r="D272" s="68"/>
      <c r="E272" s="47"/>
      <c r="F272" s="47"/>
      <c r="G272" s="47"/>
      <c r="H272" s="47" t="str">
        <f aca="false">IF(F272&gt;0,G272/F272,"")</f>
        <v/>
      </c>
    </row>
    <row r="273" customFormat="false" ht="15" hidden="false" customHeight="true" outlineLevel="0" collapsed="false">
      <c r="A273" s="70"/>
      <c r="B273" s="70"/>
      <c r="C273" s="70"/>
      <c r="D273" s="70"/>
      <c r="E273" s="49"/>
      <c r="F273" s="49"/>
      <c r="G273" s="49"/>
      <c r="H273" s="49" t="str">
        <f aca="false">IF(F273&gt;0,G273/F273,"")</f>
        <v/>
      </c>
    </row>
    <row r="274" customFormat="false" ht="15" hidden="false" customHeight="true" outlineLevel="0" collapsed="false">
      <c r="A274" s="68"/>
      <c r="B274" s="68"/>
      <c r="C274" s="68"/>
      <c r="D274" s="68"/>
      <c r="E274" s="47"/>
      <c r="F274" s="47"/>
      <c r="G274" s="47"/>
      <c r="H274" s="47" t="str">
        <f aca="false">IF(F274&gt;0,G274/F274,"")</f>
        <v/>
      </c>
    </row>
    <row r="275" customFormat="false" ht="15" hidden="false" customHeight="true" outlineLevel="0" collapsed="false">
      <c r="A275" s="70"/>
      <c r="B275" s="70"/>
      <c r="C275" s="70"/>
      <c r="D275" s="70"/>
      <c r="E275" s="49"/>
      <c r="F275" s="49"/>
      <c r="G275" s="49"/>
      <c r="H275" s="49" t="str">
        <f aca="false">IF(F275&gt;0,G275/F275,"")</f>
        <v/>
      </c>
    </row>
    <row r="276" customFormat="false" ht="15" hidden="false" customHeight="true" outlineLevel="0" collapsed="false">
      <c r="A276" s="68"/>
      <c r="B276" s="68"/>
      <c r="C276" s="68"/>
      <c r="D276" s="68"/>
      <c r="E276" s="47"/>
      <c r="F276" s="47"/>
      <c r="G276" s="47"/>
      <c r="H276" s="47" t="str">
        <f aca="false">IF(F276&gt;0,G276/F276,"")</f>
        <v/>
      </c>
    </row>
    <row r="277" customFormat="false" ht="15" hidden="false" customHeight="true" outlineLevel="0" collapsed="false">
      <c r="A277" s="70"/>
      <c r="B277" s="70"/>
      <c r="C277" s="70"/>
      <c r="D277" s="70"/>
      <c r="E277" s="49"/>
      <c r="F277" s="49"/>
      <c r="G277" s="49"/>
      <c r="H277" s="49" t="str">
        <f aca="false">IF(F277&gt;0,G277/F277,"")</f>
        <v/>
      </c>
    </row>
    <row r="278" customFormat="false" ht="15" hidden="false" customHeight="true" outlineLevel="0" collapsed="false">
      <c r="A278" s="68"/>
      <c r="B278" s="68"/>
      <c r="C278" s="68"/>
      <c r="D278" s="68"/>
      <c r="E278" s="47"/>
      <c r="F278" s="47"/>
      <c r="G278" s="47"/>
      <c r="H278" s="47" t="str">
        <f aca="false">IF(F278&gt;0,G278/F278,"")</f>
        <v/>
      </c>
    </row>
    <row r="279" customFormat="false" ht="15" hidden="false" customHeight="true" outlineLevel="0" collapsed="false">
      <c r="A279" s="70"/>
      <c r="B279" s="70"/>
      <c r="C279" s="70"/>
      <c r="D279" s="70"/>
      <c r="E279" s="49"/>
      <c r="F279" s="49"/>
      <c r="G279" s="49"/>
      <c r="H279" s="49" t="str">
        <f aca="false">IF(F279&gt;0,G279/F279,"")</f>
        <v/>
      </c>
    </row>
    <row r="280" customFormat="false" ht="15" hidden="false" customHeight="true" outlineLevel="0" collapsed="false">
      <c r="A280" s="68"/>
      <c r="B280" s="68"/>
      <c r="C280" s="68"/>
      <c r="D280" s="68"/>
      <c r="E280" s="47"/>
      <c r="F280" s="47"/>
      <c r="G280" s="47"/>
      <c r="H280" s="47" t="str">
        <f aca="false">IF(F280&gt;0,G280/F280,"")</f>
        <v/>
      </c>
    </row>
    <row r="281" customFormat="false" ht="15" hidden="false" customHeight="true" outlineLevel="0" collapsed="false">
      <c r="A281" s="70"/>
      <c r="B281" s="70"/>
      <c r="C281" s="70"/>
      <c r="D281" s="70"/>
      <c r="E281" s="49"/>
      <c r="F281" s="49"/>
      <c r="G281" s="49"/>
      <c r="H281" s="49" t="str">
        <f aca="false">IF(F281&gt;0,G281/F281,"")</f>
        <v/>
      </c>
    </row>
    <row r="282" customFormat="false" ht="15" hidden="false" customHeight="true" outlineLevel="0" collapsed="false">
      <c r="A282" s="68"/>
      <c r="B282" s="68"/>
      <c r="C282" s="68"/>
      <c r="D282" s="68"/>
      <c r="E282" s="47"/>
      <c r="F282" s="47"/>
      <c r="G282" s="47"/>
      <c r="H282" s="47" t="str">
        <f aca="false">IF(F282&gt;0,G282/F282,"")</f>
        <v/>
      </c>
    </row>
    <row r="283" customFormat="false" ht="15" hidden="false" customHeight="true" outlineLevel="0" collapsed="false">
      <c r="A283" s="70"/>
      <c r="B283" s="70"/>
      <c r="C283" s="70"/>
      <c r="D283" s="70"/>
      <c r="E283" s="49"/>
      <c r="F283" s="49"/>
      <c r="G283" s="49"/>
      <c r="H283" s="49" t="str">
        <f aca="false">IF(F283&gt;0,G283/F283,"")</f>
        <v/>
      </c>
    </row>
    <row r="284" customFormat="false" ht="15" hidden="false" customHeight="true" outlineLevel="0" collapsed="false">
      <c r="A284" s="68"/>
      <c r="B284" s="68"/>
      <c r="C284" s="68"/>
      <c r="D284" s="68"/>
      <c r="E284" s="47"/>
      <c r="F284" s="47"/>
      <c r="G284" s="47"/>
      <c r="H284" s="47" t="str">
        <f aca="false">IF(F284&gt;0,G284/F284,"")</f>
        <v/>
      </c>
    </row>
    <row r="285" customFormat="false" ht="15" hidden="false" customHeight="true" outlineLevel="0" collapsed="false">
      <c r="A285" s="70"/>
      <c r="B285" s="70"/>
      <c r="C285" s="70"/>
      <c r="D285" s="70"/>
      <c r="E285" s="49"/>
      <c r="F285" s="49"/>
      <c r="G285" s="49"/>
      <c r="H285" s="49" t="str">
        <f aca="false">IF(F285&gt;0,G285/F285,"")</f>
        <v/>
      </c>
    </row>
    <row r="286" customFormat="false" ht="15" hidden="false" customHeight="true" outlineLevel="0" collapsed="false">
      <c r="A286" s="68"/>
      <c r="B286" s="68"/>
      <c r="C286" s="68"/>
      <c r="D286" s="68"/>
      <c r="E286" s="47"/>
      <c r="F286" s="47"/>
      <c r="G286" s="47"/>
      <c r="H286" s="47" t="str">
        <f aca="false">IF(F286&gt;0,G286/F286,"")</f>
        <v/>
      </c>
    </row>
    <row r="287" customFormat="false" ht="15" hidden="false" customHeight="true" outlineLevel="0" collapsed="false">
      <c r="A287" s="70"/>
      <c r="B287" s="70"/>
      <c r="C287" s="70"/>
      <c r="D287" s="70"/>
      <c r="E287" s="49"/>
      <c r="F287" s="49"/>
      <c r="G287" s="49"/>
      <c r="H287" s="49" t="str">
        <f aca="false">IF(F287&gt;0,G287/F287,"")</f>
        <v/>
      </c>
    </row>
    <row r="288" customFormat="false" ht="15" hidden="false" customHeight="true" outlineLevel="0" collapsed="false">
      <c r="A288" s="68"/>
      <c r="B288" s="68"/>
      <c r="C288" s="68"/>
      <c r="D288" s="68"/>
      <c r="E288" s="47"/>
      <c r="F288" s="47"/>
      <c r="G288" s="47"/>
      <c r="H288" s="47" t="str">
        <f aca="false">IF(F288&gt;0,G288/F288,"")</f>
        <v/>
      </c>
    </row>
    <row r="289" customFormat="false" ht="15" hidden="false" customHeight="true" outlineLevel="0" collapsed="false">
      <c r="A289" s="70"/>
      <c r="B289" s="70"/>
      <c r="C289" s="70"/>
      <c r="D289" s="70"/>
      <c r="E289" s="49"/>
      <c r="F289" s="49"/>
      <c r="G289" s="49"/>
      <c r="H289" s="49" t="str">
        <f aca="false">IF(F289&gt;0,G289/F289,"")</f>
        <v/>
      </c>
    </row>
    <row r="290" customFormat="false" ht="15" hidden="false" customHeight="true" outlineLevel="0" collapsed="false">
      <c r="A290" s="68"/>
      <c r="B290" s="68"/>
      <c r="C290" s="68"/>
      <c r="D290" s="68"/>
      <c r="E290" s="47"/>
      <c r="F290" s="47"/>
      <c r="G290" s="47"/>
      <c r="H290" s="47" t="str">
        <f aca="false">IF(F290&gt;0,G290/F290,"")</f>
        <v/>
      </c>
    </row>
    <row r="291" customFormat="false" ht="15" hidden="false" customHeight="true" outlineLevel="0" collapsed="false">
      <c r="A291" s="70"/>
      <c r="B291" s="70"/>
      <c r="C291" s="70"/>
      <c r="D291" s="70"/>
      <c r="E291" s="49"/>
      <c r="F291" s="49"/>
      <c r="G291" s="49"/>
      <c r="H291" s="49" t="str">
        <f aca="false">IF(F291&gt;0,G291/F291,"")</f>
        <v/>
      </c>
    </row>
    <row r="292" customFormat="false" ht="15" hidden="false" customHeight="true" outlineLevel="0" collapsed="false">
      <c r="A292" s="68"/>
      <c r="B292" s="68"/>
      <c r="C292" s="68"/>
      <c r="D292" s="68"/>
      <c r="E292" s="47"/>
      <c r="F292" s="47"/>
      <c r="G292" s="47"/>
      <c r="H292" s="47" t="str">
        <f aca="false">IF(F292&gt;0,G292/F292,"")</f>
        <v/>
      </c>
    </row>
    <row r="293" customFormat="false" ht="15" hidden="false" customHeight="true" outlineLevel="0" collapsed="false">
      <c r="A293" s="70"/>
      <c r="B293" s="70"/>
      <c r="C293" s="70"/>
      <c r="D293" s="70"/>
      <c r="E293" s="49"/>
      <c r="F293" s="49"/>
      <c r="G293" s="49"/>
      <c r="H293" s="49" t="str">
        <f aca="false">IF(F293&gt;0,G293/F293,"")</f>
        <v/>
      </c>
    </row>
    <row r="294" customFormat="false" ht="15" hidden="false" customHeight="true" outlineLevel="0" collapsed="false">
      <c r="A294" s="68"/>
      <c r="B294" s="68"/>
      <c r="C294" s="68"/>
      <c r="D294" s="68"/>
      <c r="E294" s="47"/>
      <c r="F294" s="47"/>
      <c r="G294" s="47"/>
      <c r="H294" s="47" t="str">
        <f aca="false">IF(F294&gt;0,G294/F294,"")</f>
        <v/>
      </c>
    </row>
    <row r="295" customFormat="false" ht="15" hidden="false" customHeight="true" outlineLevel="0" collapsed="false">
      <c r="A295" s="70"/>
      <c r="B295" s="70"/>
      <c r="C295" s="70"/>
      <c r="D295" s="70"/>
      <c r="E295" s="49"/>
      <c r="F295" s="49"/>
      <c r="G295" s="49"/>
      <c r="H295" s="49" t="str">
        <f aca="false">IF(F295&gt;0,G295/F295,"")</f>
        <v/>
      </c>
    </row>
    <row r="296" customFormat="false" ht="15" hidden="false" customHeight="true" outlineLevel="0" collapsed="false">
      <c r="A296" s="68"/>
      <c r="B296" s="68"/>
      <c r="C296" s="68"/>
      <c r="D296" s="68"/>
      <c r="E296" s="47"/>
      <c r="F296" s="47"/>
      <c r="G296" s="47"/>
      <c r="H296" s="47" t="str">
        <f aca="false">IF(F296&gt;0,G296/F296,"")</f>
        <v/>
      </c>
    </row>
    <row r="297" customFormat="false" ht="15" hidden="false" customHeight="true" outlineLevel="0" collapsed="false">
      <c r="A297" s="70"/>
      <c r="B297" s="70"/>
      <c r="C297" s="70"/>
      <c r="D297" s="70"/>
      <c r="E297" s="49"/>
      <c r="F297" s="49"/>
      <c r="G297" s="49"/>
      <c r="H297" s="49" t="str">
        <f aca="false">IF(F297&gt;0,G297/F297,"")</f>
        <v/>
      </c>
    </row>
    <row r="298" customFormat="false" ht="15" hidden="false" customHeight="true" outlineLevel="0" collapsed="false">
      <c r="A298" s="68"/>
      <c r="B298" s="68"/>
      <c r="C298" s="68"/>
      <c r="D298" s="68"/>
      <c r="E298" s="47"/>
      <c r="F298" s="47"/>
      <c r="G298" s="47"/>
      <c r="H298" s="47" t="str">
        <f aca="false">IF(F298&gt;0,G298/F298,"")</f>
        <v/>
      </c>
    </row>
    <row r="299" customFormat="false" ht="15" hidden="false" customHeight="true" outlineLevel="0" collapsed="false">
      <c r="A299" s="70"/>
      <c r="B299" s="70"/>
      <c r="C299" s="70"/>
      <c r="D299" s="70"/>
      <c r="E299" s="49"/>
      <c r="F299" s="49"/>
      <c r="G299" s="49"/>
      <c r="H299" s="49" t="str">
        <f aca="false">IF(F299&gt;0,G299/F299,"")</f>
        <v/>
      </c>
    </row>
    <row r="300" customFormat="false" ht="15" hidden="false" customHeight="true" outlineLevel="0" collapsed="false">
      <c r="A300" s="68"/>
      <c r="B300" s="68"/>
      <c r="C300" s="68"/>
      <c r="D300" s="68"/>
      <c r="E300" s="47"/>
      <c r="F300" s="47"/>
      <c r="G300" s="47"/>
      <c r="H300" s="47" t="str">
        <f aca="false">IF(F300&gt;0,G300/F300,"")</f>
        <v/>
      </c>
    </row>
    <row r="301" customFormat="false" ht="15" hidden="false" customHeight="true" outlineLevel="0" collapsed="false">
      <c r="A301" s="70"/>
      <c r="B301" s="70"/>
      <c r="C301" s="70"/>
      <c r="D301" s="70"/>
      <c r="E301" s="49"/>
      <c r="F301" s="49"/>
      <c r="G301" s="49"/>
      <c r="H301" s="49" t="str">
        <f aca="false">IF(F301&gt;0,G301/F301,"")</f>
        <v/>
      </c>
    </row>
    <row r="302" customFormat="false" ht="15" hidden="false" customHeight="true" outlineLevel="0" collapsed="false">
      <c r="A302" s="68"/>
      <c r="B302" s="68"/>
      <c r="C302" s="68"/>
      <c r="D302" s="68"/>
      <c r="E302" s="47"/>
      <c r="F302" s="47"/>
      <c r="G302" s="47"/>
      <c r="H302" s="47" t="str">
        <f aca="false">IF(F302&gt;0,G302/F302,"")</f>
        <v/>
      </c>
    </row>
    <row r="303" customFormat="false" ht="15" hidden="false" customHeight="true" outlineLevel="0" collapsed="false">
      <c r="A303" s="70"/>
      <c r="B303" s="70"/>
      <c r="C303" s="70"/>
      <c r="D303" s="70"/>
      <c r="E303" s="49"/>
      <c r="F303" s="49"/>
      <c r="G303" s="49"/>
      <c r="H303" s="49" t="str">
        <f aca="false">IF(F303&gt;0,G303/F303,"")</f>
        <v/>
      </c>
    </row>
    <row r="304" customFormat="false" ht="15" hidden="false" customHeight="true" outlineLevel="0" collapsed="false">
      <c r="A304" s="68"/>
      <c r="B304" s="68"/>
      <c r="C304" s="68"/>
      <c r="D304" s="68"/>
      <c r="E304" s="47"/>
      <c r="F304" s="47"/>
      <c r="G304" s="47"/>
      <c r="H304" s="47" t="str">
        <f aca="false">IF(F304&gt;0,G304/F304,"")</f>
        <v/>
      </c>
    </row>
    <row r="305" customFormat="false" ht="15" hidden="false" customHeight="true" outlineLevel="0" collapsed="false">
      <c r="A305" s="70"/>
      <c r="B305" s="70"/>
      <c r="C305" s="70"/>
      <c r="D305" s="70"/>
      <c r="E305" s="49"/>
      <c r="F305" s="49"/>
      <c r="G305" s="49"/>
      <c r="H305" s="49" t="str">
        <f aca="false">IF(F305&gt;0,G305/F305,"")</f>
        <v/>
      </c>
    </row>
    <row r="306" customFormat="false" ht="15" hidden="false" customHeight="true" outlineLevel="0" collapsed="false">
      <c r="A306" s="68"/>
      <c r="B306" s="68"/>
      <c r="C306" s="68"/>
      <c r="D306" s="68"/>
      <c r="E306" s="47"/>
      <c r="F306" s="47"/>
      <c r="G306" s="47"/>
      <c r="H306" s="47" t="str">
        <f aca="false">IF(F306&gt;0,G306/F306,"")</f>
        <v/>
      </c>
    </row>
    <row r="307" customFormat="false" ht="15" hidden="false" customHeight="true" outlineLevel="0" collapsed="false">
      <c r="A307" s="70"/>
      <c r="B307" s="70"/>
      <c r="C307" s="70"/>
      <c r="D307" s="70"/>
      <c r="E307" s="49"/>
      <c r="F307" s="49"/>
      <c r="G307" s="49"/>
      <c r="H307" s="49" t="str">
        <f aca="false">IF(F307&gt;0,G307/F307,"")</f>
        <v/>
      </c>
    </row>
    <row r="308" customFormat="false" ht="15" hidden="false" customHeight="true" outlineLevel="0" collapsed="false">
      <c r="A308" s="68"/>
      <c r="B308" s="68"/>
      <c r="C308" s="68"/>
      <c r="D308" s="68"/>
      <c r="E308" s="47"/>
      <c r="F308" s="47"/>
      <c r="G308" s="47"/>
      <c r="H308" s="47" t="str">
        <f aca="false">IF(F308&gt;0,G308/F308,"")</f>
        <v/>
      </c>
    </row>
    <row r="309" customFormat="false" ht="15" hidden="false" customHeight="true" outlineLevel="0" collapsed="false">
      <c r="A309" s="70"/>
      <c r="B309" s="70"/>
      <c r="C309" s="70"/>
      <c r="D309" s="70"/>
      <c r="E309" s="49"/>
      <c r="F309" s="49"/>
      <c r="G309" s="49"/>
      <c r="H309" s="49" t="str">
        <f aca="false">IF(F309&gt;0,G309/F309,"")</f>
        <v/>
      </c>
    </row>
    <row r="310" customFormat="false" ht="15" hidden="false" customHeight="true" outlineLevel="0" collapsed="false">
      <c r="A310" s="68"/>
      <c r="B310" s="68"/>
      <c r="C310" s="68"/>
      <c r="D310" s="68"/>
      <c r="E310" s="47"/>
      <c r="F310" s="47"/>
      <c r="G310" s="47"/>
      <c r="H310" s="47" t="str">
        <f aca="false">IF(F310&gt;0,G310/F310,"")</f>
        <v/>
      </c>
    </row>
    <row r="311" customFormat="false" ht="15" hidden="false" customHeight="true" outlineLevel="0" collapsed="false">
      <c r="A311" s="70"/>
      <c r="B311" s="70"/>
      <c r="C311" s="70"/>
      <c r="D311" s="70"/>
      <c r="E311" s="49"/>
      <c r="F311" s="49"/>
      <c r="G311" s="49"/>
      <c r="H311" s="49" t="str">
        <f aca="false">IF(F311&gt;0,G311/F311,"")</f>
        <v/>
      </c>
    </row>
    <row r="312" customFormat="false" ht="15" hidden="false" customHeight="true" outlineLevel="0" collapsed="false">
      <c r="A312" s="68"/>
      <c r="B312" s="68"/>
      <c r="C312" s="68"/>
      <c r="D312" s="68"/>
      <c r="E312" s="47"/>
      <c r="F312" s="47"/>
      <c r="G312" s="47"/>
      <c r="H312" s="47" t="str">
        <f aca="false">IF(F312&gt;0,G312/F312,"")</f>
        <v/>
      </c>
    </row>
    <row r="313" customFormat="false" ht="15" hidden="false" customHeight="true" outlineLevel="0" collapsed="false">
      <c r="A313" s="70"/>
      <c r="B313" s="70"/>
      <c r="C313" s="70"/>
      <c r="D313" s="70"/>
      <c r="E313" s="49"/>
      <c r="F313" s="49"/>
      <c r="G313" s="49"/>
      <c r="H313" s="49" t="str">
        <f aca="false">IF(F313&gt;0,G313/F313,"")</f>
        <v/>
      </c>
    </row>
    <row r="314" customFormat="false" ht="15" hidden="false" customHeight="true" outlineLevel="0" collapsed="false">
      <c r="A314" s="68"/>
      <c r="B314" s="68"/>
      <c r="C314" s="68"/>
      <c r="D314" s="68"/>
      <c r="E314" s="47"/>
      <c r="F314" s="47"/>
      <c r="G314" s="47"/>
      <c r="H314" s="47" t="str">
        <f aca="false">IF(F314&gt;0,G314/F314,"")</f>
        <v/>
      </c>
    </row>
    <row r="315" customFormat="false" ht="15" hidden="false" customHeight="true" outlineLevel="0" collapsed="false">
      <c r="A315" s="70"/>
      <c r="B315" s="70"/>
      <c r="C315" s="70"/>
      <c r="D315" s="70"/>
      <c r="E315" s="49"/>
      <c r="F315" s="49"/>
      <c r="G315" s="49"/>
      <c r="H315" s="49" t="str">
        <f aca="false">IF(F315&gt;0,G315/F315,"")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5" min="4" style="1" width="8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3" min="10" style="1" width="12"/>
    <col collapsed="false" customWidth="true" hidden="false" outlineLevel="0" max="14" min="14" style="1" width="13"/>
    <col collapsed="false" customWidth="true" hidden="false" outlineLevel="0" max="15" min="15" style="1" width="8"/>
  </cols>
  <sheetData>
    <row r="1" customFormat="false" ht="18" hidden="false" customHeight="true" outlineLevel="0" collapsed="false">
      <c r="A1" s="45" t="s">
        <v>199</v>
      </c>
    </row>
    <row r="2" customFormat="false" ht="15" hidden="false" customHeight="true" outlineLevel="0" collapsed="false">
      <c r="A2" s="3" t="s">
        <v>200</v>
      </c>
    </row>
    <row r="4" customFormat="false" ht="15" hidden="false" customHeight="true" outlineLevel="0" collapsed="false">
      <c r="A4" s="52" t="s">
        <v>201</v>
      </c>
      <c r="B4" s="5"/>
      <c r="C4" s="5"/>
    </row>
    <row r="5" customFormat="false" ht="15" hidden="false" customHeight="true" outlineLevel="0" collapsed="false">
      <c r="A5" s="72" t="s">
        <v>202</v>
      </c>
      <c r="B5" s="7" t="s">
        <v>149</v>
      </c>
    </row>
    <row r="6" customFormat="false" ht="15" hidden="false" customHeight="true" outlineLevel="0" collapsed="false">
      <c r="A6" s="72" t="s">
        <v>203</v>
      </c>
      <c r="B6" s="9" t="n">
        <v>0.5</v>
      </c>
    </row>
    <row r="7" customFormat="false" ht="15" hidden="false" customHeight="true" outlineLevel="0" collapsed="false">
      <c r="A7" s="72" t="s">
        <v>8</v>
      </c>
      <c r="B7" s="11" t="n">
        <v>0.048</v>
      </c>
    </row>
    <row r="8" customFormat="false" ht="15" hidden="false" customHeight="true" outlineLevel="0" collapsed="false">
      <c r="A8" s="72" t="s">
        <v>150</v>
      </c>
      <c r="B8" s="10" t="n">
        <v>25</v>
      </c>
    </row>
    <row r="9" customFormat="false" ht="15" hidden="false" customHeight="true" outlineLevel="0" collapsed="false">
      <c r="A9" s="72" t="s">
        <v>204</v>
      </c>
      <c r="B9" s="12" t="n">
        <v>0.035</v>
      </c>
    </row>
    <row r="10" customFormat="false" ht="15" hidden="false" customHeight="true" outlineLevel="0" collapsed="false">
      <c r="A10" s="72" t="s">
        <v>205</v>
      </c>
      <c r="B10" s="7" t="n">
        <v>0</v>
      </c>
    </row>
    <row r="12" customFormat="false" ht="15" hidden="false" customHeight="true" outlineLevel="0" collapsed="false">
      <c r="A12" s="23" t="s">
        <v>206</v>
      </c>
      <c r="B12" s="23" t="s">
        <v>207</v>
      </c>
      <c r="C12" s="23" t="s">
        <v>208</v>
      </c>
      <c r="D12" s="23" t="s">
        <v>186</v>
      </c>
      <c r="E12" s="23" t="s">
        <v>209</v>
      </c>
      <c r="F12" s="23" t="s">
        <v>210</v>
      </c>
      <c r="G12" s="23" t="s">
        <v>189</v>
      </c>
      <c r="H12" s="23" t="s">
        <v>155</v>
      </c>
      <c r="I12" s="23" t="s">
        <v>211</v>
      </c>
      <c r="J12" s="23" t="s">
        <v>212</v>
      </c>
      <c r="K12" s="23" t="s">
        <v>28</v>
      </c>
      <c r="L12" s="23" t="s">
        <v>213</v>
      </c>
      <c r="M12" s="23" t="s">
        <v>214</v>
      </c>
      <c r="N12" s="23" t="s">
        <v>215</v>
      </c>
      <c r="O12" s="23" t="s">
        <v>216</v>
      </c>
    </row>
    <row r="13" customFormat="false" ht="15" hidden="false" customHeight="true" outlineLevel="0" collapsed="false">
      <c r="A13" s="46" t="n">
        <v>1</v>
      </c>
      <c r="B13" s="25"/>
      <c r="C13" s="7"/>
      <c r="D13" s="25"/>
      <c r="E13" s="25"/>
      <c r="F13" s="7"/>
      <c r="G13" s="13" t="str">
        <f aca="false">IF(AND(C13&gt;0,E13&gt;0),C13/E13,"")</f>
        <v/>
      </c>
      <c r="H13" s="13" t="str">
        <f aca="false">IF(C13&gt;0,IF($B$5="דירה להשקעה",MAX(0,MIN(C13,נתונים!$B$13)-נתונים!$A$13)*נתונים!$C$13+MAX(0,MIN(C13,נתונים!$B$14)-נתונים!$A$14)*נתונים!$C$14,MAX(0,MIN(C13,נתונים!$B$6)-נתונים!$A$6)*נתונים!$C$6+MAX(0,MIN(C13,נתונים!$B$7)-נתונים!$A$7)*נתונים!$C$7+MAX(0,MIN(C13,נתונים!$B$8)-נתונים!$A$8)*נתונים!$C$8+MAX(0,MIN(C13,נתונים!$B$9)-נתונים!$A$9)*נתונים!$C$9),"")</f>
        <v/>
      </c>
      <c r="I13" s="13" t="str">
        <f aca="false">IF(C13&gt;0,C13+H13+C13*0.02*1.18+C13*0.005*1.18,"")</f>
        <v/>
      </c>
      <c r="J13" s="13" t="str">
        <f aca="false">IF(C13&gt;0,C13*(1-$B$6)+(I13-C13),"")</f>
        <v/>
      </c>
      <c r="K13" s="13" t="str">
        <f aca="false">IF(C13&gt;0,PMT($B$7/12,$B$8*12,-C13*$B$6),"")</f>
        <v/>
      </c>
      <c r="L13" s="13" t="str">
        <f aca="false">IF(C13&gt;0,F13-K13,"")</f>
        <v/>
      </c>
      <c r="M13" s="17" t="str">
        <f aca="false">IF(AND(C13&gt;0,F13&gt;0),F13*12/C13,"")</f>
        <v/>
      </c>
      <c r="N13" s="17" t="str">
        <f aca="false">IF(AND($B$10&gt;0,G13&lt;&gt;""),G13/$B$10-1,"")</f>
        <v/>
      </c>
      <c r="O13" s="73" t="str">
        <f aca="false">IF(C13="","",ROUND(IF(M13&lt;&gt;"",M13*1000,0)+IF(L13&gt;0,2,0)-IF(AND($B$10&gt;0,N13&lt;&gt;""),N13*20,0),1))</f>
        <v/>
      </c>
    </row>
    <row r="14" customFormat="false" ht="15" hidden="false" customHeight="true" outlineLevel="0" collapsed="false">
      <c r="A14" s="48" t="n">
        <v>2</v>
      </c>
      <c r="B14" s="25"/>
      <c r="C14" s="7"/>
      <c r="D14" s="25"/>
      <c r="E14" s="25"/>
      <c r="F14" s="7"/>
      <c r="G14" s="64" t="str">
        <f aca="false">IF(AND(C14&gt;0,E14&gt;0),C14/E14,"")</f>
        <v/>
      </c>
      <c r="H14" s="64" t="str">
        <f aca="false">IF(C14&gt;0,IF($B$5="דירה להשקעה",MAX(0,MIN(C14,נתונים!$B$13)-נתונים!$A$13)*נתונים!$C$13+MAX(0,MIN(C14,נתונים!$B$14)-נתונים!$A$14)*נתונים!$C$14,MAX(0,MIN(C14,נתונים!$B$6)-נתונים!$A$6)*נתונים!$C$6+MAX(0,MIN(C14,נתונים!$B$7)-נתונים!$A$7)*נתונים!$C$7+MAX(0,MIN(C14,נתונים!$B$8)-נתונים!$A$8)*נתונים!$C$8+MAX(0,MIN(C14,נתונים!$B$9)-נתונים!$A$9)*נתונים!$C$9),"")</f>
        <v/>
      </c>
      <c r="I14" s="64" t="str">
        <f aca="false">IF(C14&gt;0,C14+H14+C14*0.02*1.18+C14*0.005*1.18,"")</f>
        <v/>
      </c>
      <c r="J14" s="64" t="str">
        <f aca="false">IF(C14&gt;0,C14*(1-$B$6)+(I14-C14),"")</f>
        <v/>
      </c>
      <c r="K14" s="64" t="str">
        <f aca="false">IF(C14&gt;0,PMT($B$7/12,$B$8*12,-C14*$B$6),"")</f>
        <v/>
      </c>
      <c r="L14" s="64" t="str">
        <f aca="false">IF(C14&gt;0,F14-K14,"")</f>
        <v/>
      </c>
      <c r="M14" s="74" t="str">
        <f aca="false">IF(AND(C14&gt;0,F14&gt;0),F14*12/C14,"")</f>
        <v/>
      </c>
      <c r="N14" s="74" t="str">
        <f aca="false">IF(AND($B$10&gt;0,G14&lt;&gt;""),G14/$B$10-1,"")</f>
        <v/>
      </c>
      <c r="O14" s="65" t="str">
        <f aca="false">IF(C14="","",ROUND(IF(M14&lt;&gt;"",M14*1000,0)+IF(L14&gt;0,2,0)-IF(AND($B$10&gt;0,N14&lt;&gt;""),N14*20,0),1))</f>
        <v/>
      </c>
    </row>
    <row r="15" customFormat="false" ht="15" hidden="false" customHeight="true" outlineLevel="0" collapsed="false">
      <c r="A15" s="46" t="n">
        <v>3</v>
      </c>
      <c r="B15" s="25"/>
      <c r="C15" s="7"/>
      <c r="D15" s="25"/>
      <c r="E15" s="25"/>
      <c r="F15" s="7"/>
      <c r="G15" s="13" t="str">
        <f aca="false">IF(AND(C15&gt;0,E15&gt;0),C15/E15,"")</f>
        <v/>
      </c>
      <c r="H15" s="13" t="str">
        <f aca="false">IF(C15&gt;0,IF($B$5="דירה להשקעה",MAX(0,MIN(C15,נתונים!$B$13)-נתונים!$A$13)*נתונים!$C$13+MAX(0,MIN(C15,נתונים!$B$14)-נתונים!$A$14)*נתונים!$C$14,MAX(0,MIN(C15,נתונים!$B$6)-נתונים!$A$6)*נתונים!$C$6+MAX(0,MIN(C15,נתונים!$B$7)-נתונים!$A$7)*נתונים!$C$7+MAX(0,MIN(C15,נתונים!$B$8)-נתונים!$A$8)*נתונים!$C$8+MAX(0,MIN(C15,נתונים!$B$9)-נתונים!$A$9)*נתונים!$C$9),"")</f>
        <v/>
      </c>
      <c r="I15" s="13" t="str">
        <f aca="false">IF(C15&gt;0,C15+H15+C15*0.02*1.18+C15*0.005*1.18,"")</f>
        <v/>
      </c>
      <c r="J15" s="13" t="str">
        <f aca="false">IF(C15&gt;0,C15*(1-$B$6)+(I15-C15),"")</f>
        <v/>
      </c>
      <c r="K15" s="13" t="str">
        <f aca="false">IF(C15&gt;0,PMT($B$7/12,$B$8*12,-C15*$B$6),"")</f>
        <v/>
      </c>
      <c r="L15" s="13" t="str">
        <f aca="false">IF(C15&gt;0,F15-K15,"")</f>
        <v/>
      </c>
      <c r="M15" s="17" t="str">
        <f aca="false">IF(AND(C15&gt;0,F15&gt;0),F15*12/C15,"")</f>
        <v/>
      </c>
      <c r="N15" s="17" t="str">
        <f aca="false">IF(AND($B$10&gt;0,G15&lt;&gt;""),G15/$B$10-1,"")</f>
        <v/>
      </c>
      <c r="O15" s="73" t="str">
        <f aca="false">IF(C15="","",ROUND(IF(M15&lt;&gt;"",M15*1000,0)+IF(L15&gt;0,2,0)-IF(AND($B$10&gt;0,N15&lt;&gt;""),N15*20,0),1))</f>
        <v/>
      </c>
    </row>
    <row r="16" customFormat="false" ht="15" hidden="false" customHeight="true" outlineLevel="0" collapsed="false">
      <c r="A16" s="48" t="n">
        <v>4</v>
      </c>
      <c r="B16" s="25"/>
      <c r="C16" s="7"/>
      <c r="D16" s="25"/>
      <c r="E16" s="25"/>
      <c r="F16" s="7"/>
      <c r="G16" s="64" t="str">
        <f aca="false">IF(AND(C16&gt;0,E16&gt;0),C16/E16,"")</f>
        <v/>
      </c>
      <c r="H16" s="64" t="str">
        <f aca="false">IF(C16&gt;0,IF($B$5="דירה להשקעה",MAX(0,MIN(C16,נתונים!$B$13)-נתונים!$A$13)*נתונים!$C$13+MAX(0,MIN(C16,נתונים!$B$14)-נתונים!$A$14)*נתונים!$C$14,MAX(0,MIN(C16,נתונים!$B$6)-נתונים!$A$6)*נתונים!$C$6+MAX(0,MIN(C16,נתונים!$B$7)-נתונים!$A$7)*נתונים!$C$7+MAX(0,MIN(C16,נתונים!$B$8)-נתונים!$A$8)*נתונים!$C$8+MAX(0,MIN(C16,נתונים!$B$9)-נתונים!$A$9)*נתונים!$C$9),"")</f>
        <v/>
      </c>
      <c r="I16" s="64" t="str">
        <f aca="false">IF(C16&gt;0,C16+H16+C16*0.02*1.18+C16*0.005*1.18,"")</f>
        <v/>
      </c>
      <c r="J16" s="64" t="str">
        <f aca="false">IF(C16&gt;0,C16*(1-$B$6)+(I16-C16),"")</f>
        <v/>
      </c>
      <c r="K16" s="64" t="str">
        <f aca="false">IF(C16&gt;0,PMT($B$7/12,$B$8*12,-C16*$B$6),"")</f>
        <v/>
      </c>
      <c r="L16" s="64" t="str">
        <f aca="false">IF(C16&gt;0,F16-K16,"")</f>
        <v/>
      </c>
      <c r="M16" s="74" t="str">
        <f aca="false">IF(AND(C16&gt;0,F16&gt;0),F16*12/C16,"")</f>
        <v/>
      </c>
      <c r="N16" s="74" t="str">
        <f aca="false">IF(AND($B$10&gt;0,G16&lt;&gt;""),G16/$B$10-1,"")</f>
        <v/>
      </c>
      <c r="O16" s="65" t="str">
        <f aca="false">IF(C16="","",ROUND(IF(M16&lt;&gt;"",M16*1000,0)+IF(L16&gt;0,2,0)-IF(AND($B$10&gt;0,N16&lt;&gt;""),N16*20,0),1))</f>
        <v/>
      </c>
    </row>
    <row r="17" customFormat="false" ht="15" hidden="false" customHeight="true" outlineLevel="0" collapsed="false">
      <c r="A17" s="46" t="n">
        <v>5</v>
      </c>
      <c r="B17" s="25"/>
      <c r="C17" s="7"/>
      <c r="D17" s="25"/>
      <c r="E17" s="25"/>
      <c r="F17" s="7"/>
      <c r="G17" s="13" t="str">
        <f aca="false">IF(AND(C17&gt;0,E17&gt;0),C17/E17,"")</f>
        <v/>
      </c>
      <c r="H17" s="13" t="str">
        <f aca="false">IF(C17&gt;0,IF($B$5="דירה להשקעה",MAX(0,MIN(C17,נתונים!$B$13)-נתונים!$A$13)*נתונים!$C$13+MAX(0,MIN(C17,נתונים!$B$14)-נתונים!$A$14)*נתונים!$C$14,MAX(0,MIN(C17,נתונים!$B$6)-נתונים!$A$6)*נתונים!$C$6+MAX(0,MIN(C17,נתונים!$B$7)-נתונים!$A$7)*נתונים!$C$7+MAX(0,MIN(C17,נתונים!$B$8)-נתונים!$A$8)*נתונים!$C$8+MAX(0,MIN(C17,נתונים!$B$9)-נתונים!$A$9)*נתונים!$C$9),"")</f>
        <v/>
      </c>
      <c r="I17" s="13" t="str">
        <f aca="false">IF(C17&gt;0,C17+H17+C17*0.02*1.18+C17*0.005*1.18,"")</f>
        <v/>
      </c>
      <c r="J17" s="13" t="str">
        <f aca="false">IF(C17&gt;0,C17*(1-$B$6)+(I17-C17),"")</f>
        <v/>
      </c>
      <c r="K17" s="13" t="str">
        <f aca="false">IF(C17&gt;0,PMT($B$7/12,$B$8*12,-C17*$B$6),"")</f>
        <v/>
      </c>
      <c r="L17" s="13" t="str">
        <f aca="false">IF(C17&gt;0,F17-K17,"")</f>
        <v/>
      </c>
      <c r="M17" s="17" t="str">
        <f aca="false">IF(AND(C17&gt;0,F17&gt;0),F17*12/C17,"")</f>
        <v/>
      </c>
      <c r="N17" s="17" t="str">
        <f aca="false">IF(AND($B$10&gt;0,G17&lt;&gt;""),G17/$B$10-1,"")</f>
        <v/>
      </c>
      <c r="O17" s="73" t="str">
        <f aca="false">IF(C17="","",ROUND(IF(M17&lt;&gt;"",M17*1000,0)+IF(L17&gt;0,2,0)-IF(AND($B$10&gt;0,N17&lt;&gt;""),N17*20,0),1))</f>
        <v/>
      </c>
    </row>
    <row r="18" customFormat="false" ht="15" hidden="false" customHeight="true" outlineLevel="0" collapsed="false">
      <c r="A18" s="48" t="n">
        <v>6</v>
      </c>
      <c r="B18" s="25"/>
      <c r="C18" s="7"/>
      <c r="D18" s="25"/>
      <c r="E18" s="25"/>
      <c r="F18" s="7"/>
      <c r="G18" s="64" t="str">
        <f aca="false">IF(AND(C18&gt;0,E18&gt;0),C18/E18,"")</f>
        <v/>
      </c>
      <c r="H18" s="64" t="str">
        <f aca="false">IF(C18&gt;0,IF($B$5="דירה להשקעה",MAX(0,MIN(C18,נתונים!$B$13)-נתונים!$A$13)*נתונים!$C$13+MAX(0,MIN(C18,נתונים!$B$14)-נתונים!$A$14)*נתונים!$C$14,MAX(0,MIN(C18,נתונים!$B$6)-נתונים!$A$6)*נתונים!$C$6+MAX(0,MIN(C18,נתונים!$B$7)-נתונים!$A$7)*נתונים!$C$7+MAX(0,MIN(C18,נתונים!$B$8)-נתונים!$A$8)*נתונים!$C$8+MAX(0,MIN(C18,נתונים!$B$9)-נתונים!$A$9)*נתונים!$C$9),"")</f>
        <v/>
      </c>
      <c r="I18" s="64" t="str">
        <f aca="false">IF(C18&gt;0,C18+H18+C18*0.02*1.18+C18*0.005*1.18,"")</f>
        <v/>
      </c>
      <c r="J18" s="64" t="str">
        <f aca="false">IF(C18&gt;0,C18*(1-$B$6)+(I18-C18),"")</f>
        <v/>
      </c>
      <c r="K18" s="64" t="str">
        <f aca="false">IF(C18&gt;0,PMT($B$7/12,$B$8*12,-C18*$B$6),"")</f>
        <v/>
      </c>
      <c r="L18" s="64" t="str">
        <f aca="false">IF(C18&gt;0,F18-K18,"")</f>
        <v/>
      </c>
      <c r="M18" s="74" t="str">
        <f aca="false">IF(AND(C18&gt;0,F18&gt;0),F18*12/C18,"")</f>
        <v/>
      </c>
      <c r="N18" s="74" t="str">
        <f aca="false">IF(AND($B$10&gt;0,G18&lt;&gt;""),G18/$B$10-1,"")</f>
        <v/>
      </c>
      <c r="O18" s="65" t="str">
        <f aca="false">IF(C18="","",ROUND(IF(M18&lt;&gt;"",M18*1000,0)+IF(L18&gt;0,2,0)-IF(AND($B$10&gt;0,N18&lt;&gt;""),N18*20,0),1))</f>
        <v/>
      </c>
    </row>
    <row r="19" customFormat="false" ht="15" hidden="false" customHeight="true" outlineLevel="0" collapsed="false">
      <c r="A19" s="46" t="n">
        <v>7</v>
      </c>
      <c r="B19" s="25"/>
      <c r="C19" s="7"/>
      <c r="D19" s="25"/>
      <c r="E19" s="25"/>
      <c r="F19" s="7"/>
      <c r="G19" s="13" t="str">
        <f aca="false">IF(AND(C19&gt;0,E19&gt;0),C19/E19,"")</f>
        <v/>
      </c>
      <c r="H19" s="13" t="str">
        <f aca="false">IF(C19&gt;0,IF($B$5="דירה להשקעה",MAX(0,MIN(C19,נתונים!$B$13)-נתונים!$A$13)*נתונים!$C$13+MAX(0,MIN(C19,נתונים!$B$14)-נתונים!$A$14)*נתונים!$C$14,MAX(0,MIN(C19,נתונים!$B$6)-נתונים!$A$6)*נתונים!$C$6+MAX(0,MIN(C19,נתונים!$B$7)-נתונים!$A$7)*נתונים!$C$7+MAX(0,MIN(C19,נתונים!$B$8)-נתונים!$A$8)*נתונים!$C$8+MAX(0,MIN(C19,נתונים!$B$9)-נתונים!$A$9)*נתונים!$C$9),"")</f>
        <v/>
      </c>
      <c r="I19" s="13" t="str">
        <f aca="false">IF(C19&gt;0,C19+H19+C19*0.02*1.18+C19*0.005*1.18,"")</f>
        <v/>
      </c>
      <c r="J19" s="13" t="str">
        <f aca="false">IF(C19&gt;0,C19*(1-$B$6)+(I19-C19),"")</f>
        <v/>
      </c>
      <c r="K19" s="13" t="str">
        <f aca="false">IF(C19&gt;0,PMT($B$7/12,$B$8*12,-C19*$B$6),"")</f>
        <v/>
      </c>
      <c r="L19" s="13" t="str">
        <f aca="false">IF(C19&gt;0,F19-K19,"")</f>
        <v/>
      </c>
      <c r="M19" s="17" t="str">
        <f aca="false">IF(AND(C19&gt;0,F19&gt;0),F19*12/C19,"")</f>
        <v/>
      </c>
      <c r="N19" s="17" t="str">
        <f aca="false">IF(AND($B$10&gt;0,G19&lt;&gt;""),G19/$B$10-1,"")</f>
        <v/>
      </c>
      <c r="O19" s="73" t="str">
        <f aca="false">IF(C19="","",ROUND(IF(M19&lt;&gt;"",M19*1000,0)+IF(L19&gt;0,2,0)-IF(AND($B$10&gt;0,N19&lt;&gt;""),N19*20,0),1))</f>
        <v/>
      </c>
    </row>
    <row r="20" customFormat="false" ht="15" hidden="false" customHeight="true" outlineLevel="0" collapsed="false">
      <c r="A20" s="48" t="n">
        <v>8</v>
      </c>
      <c r="B20" s="25"/>
      <c r="C20" s="7"/>
      <c r="D20" s="25"/>
      <c r="E20" s="25"/>
      <c r="F20" s="7"/>
      <c r="G20" s="64" t="str">
        <f aca="false">IF(AND(C20&gt;0,E20&gt;0),C20/E20,"")</f>
        <v/>
      </c>
      <c r="H20" s="64" t="str">
        <f aca="false">IF(C20&gt;0,IF($B$5="דירה להשקעה",MAX(0,MIN(C20,נתונים!$B$13)-נתונים!$A$13)*נתונים!$C$13+MAX(0,MIN(C20,נתונים!$B$14)-נתונים!$A$14)*נתונים!$C$14,MAX(0,MIN(C20,נתונים!$B$6)-נתונים!$A$6)*נתונים!$C$6+MAX(0,MIN(C20,נתונים!$B$7)-נתונים!$A$7)*נתונים!$C$7+MAX(0,MIN(C20,נתונים!$B$8)-נתונים!$A$8)*נתונים!$C$8+MAX(0,MIN(C20,נתונים!$B$9)-נתונים!$A$9)*נתונים!$C$9),"")</f>
        <v/>
      </c>
      <c r="I20" s="64" t="str">
        <f aca="false">IF(C20&gt;0,C20+H20+C20*0.02*1.18+C20*0.005*1.18,"")</f>
        <v/>
      </c>
      <c r="J20" s="64" t="str">
        <f aca="false">IF(C20&gt;0,C20*(1-$B$6)+(I20-C20),"")</f>
        <v/>
      </c>
      <c r="K20" s="64" t="str">
        <f aca="false">IF(C20&gt;0,PMT($B$7/12,$B$8*12,-C20*$B$6),"")</f>
        <v/>
      </c>
      <c r="L20" s="64" t="str">
        <f aca="false">IF(C20&gt;0,F20-K20,"")</f>
        <v/>
      </c>
      <c r="M20" s="74" t="str">
        <f aca="false">IF(AND(C20&gt;0,F20&gt;0),F20*12/C20,"")</f>
        <v/>
      </c>
      <c r="N20" s="74" t="str">
        <f aca="false">IF(AND($B$10&gt;0,G20&lt;&gt;""),G20/$B$10-1,"")</f>
        <v/>
      </c>
      <c r="O20" s="65" t="str">
        <f aca="false">IF(C20="","",ROUND(IF(M20&lt;&gt;"",M20*1000,0)+IF(L20&gt;0,2,0)-IF(AND($B$10&gt;0,N20&lt;&gt;""),N20*20,0),1))</f>
        <v/>
      </c>
    </row>
    <row r="21" customFormat="false" ht="15" hidden="false" customHeight="true" outlineLevel="0" collapsed="false">
      <c r="A21" s="46" t="n">
        <v>9</v>
      </c>
      <c r="B21" s="25"/>
      <c r="C21" s="7"/>
      <c r="D21" s="25"/>
      <c r="E21" s="25"/>
      <c r="F21" s="7"/>
      <c r="G21" s="13" t="str">
        <f aca="false">IF(AND(C21&gt;0,E21&gt;0),C21/E21,"")</f>
        <v/>
      </c>
      <c r="H21" s="13" t="str">
        <f aca="false">IF(C21&gt;0,IF($B$5="דירה להשקעה",MAX(0,MIN(C21,נתונים!$B$13)-נתונים!$A$13)*נתונים!$C$13+MAX(0,MIN(C21,נתונים!$B$14)-נתונים!$A$14)*נתונים!$C$14,MAX(0,MIN(C21,נתונים!$B$6)-נתונים!$A$6)*נתונים!$C$6+MAX(0,MIN(C21,נתונים!$B$7)-נתונים!$A$7)*נתונים!$C$7+MAX(0,MIN(C21,נתונים!$B$8)-נתונים!$A$8)*נתונים!$C$8+MAX(0,MIN(C21,נתונים!$B$9)-נתונים!$A$9)*נתונים!$C$9),"")</f>
        <v/>
      </c>
      <c r="I21" s="13" t="str">
        <f aca="false">IF(C21&gt;0,C21+H21+C21*0.02*1.18+C21*0.005*1.18,"")</f>
        <v/>
      </c>
      <c r="J21" s="13" t="str">
        <f aca="false">IF(C21&gt;0,C21*(1-$B$6)+(I21-C21),"")</f>
        <v/>
      </c>
      <c r="K21" s="13" t="str">
        <f aca="false">IF(C21&gt;0,PMT($B$7/12,$B$8*12,-C21*$B$6),"")</f>
        <v/>
      </c>
      <c r="L21" s="13" t="str">
        <f aca="false">IF(C21&gt;0,F21-K21,"")</f>
        <v/>
      </c>
      <c r="M21" s="17" t="str">
        <f aca="false">IF(AND(C21&gt;0,F21&gt;0),F21*12/C21,"")</f>
        <v/>
      </c>
      <c r="N21" s="17" t="str">
        <f aca="false">IF(AND($B$10&gt;0,G21&lt;&gt;""),G21/$B$10-1,"")</f>
        <v/>
      </c>
      <c r="O21" s="73" t="str">
        <f aca="false">IF(C21="","",ROUND(IF(M21&lt;&gt;"",M21*1000,0)+IF(L21&gt;0,2,0)-IF(AND($B$10&gt;0,N21&lt;&gt;""),N21*20,0),1))</f>
        <v/>
      </c>
    </row>
    <row r="22" customFormat="false" ht="15" hidden="false" customHeight="true" outlineLevel="0" collapsed="false">
      <c r="A22" s="48" t="n">
        <v>10</v>
      </c>
      <c r="B22" s="25"/>
      <c r="C22" s="7"/>
      <c r="D22" s="25"/>
      <c r="E22" s="25"/>
      <c r="F22" s="7"/>
      <c r="G22" s="64" t="str">
        <f aca="false">IF(AND(C22&gt;0,E22&gt;0),C22/E22,"")</f>
        <v/>
      </c>
      <c r="H22" s="64" t="str">
        <f aca="false">IF(C22&gt;0,IF($B$5="דירה להשקעה",MAX(0,MIN(C22,נתונים!$B$13)-נתונים!$A$13)*נתונים!$C$13+MAX(0,MIN(C22,נתונים!$B$14)-נתונים!$A$14)*נתונים!$C$14,MAX(0,MIN(C22,נתונים!$B$6)-נתונים!$A$6)*נתונים!$C$6+MAX(0,MIN(C22,נתונים!$B$7)-נתונים!$A$7)*נתונים!$C$7+MAX(0,MIN(C22,נתונים!$B$8)-נתונים!$A$8)*נתונים!$C$8+MAX(0,MIN(C22,נתונים!$B$9)-נתונים!$A$9)*נתונים!$C$9),"")</f>
        <v/>
      </c>
      <c r="I22" s="64" t="str">
        <f aca="false">IF(C22&gt;0,C22+H22+C22*0.02*1.18+C22*0.005*1.18,"")</f>
        <v/>
      </c>
      <c r="J22" s="64" t="str">
        <f aca="false">IF(C22&gt;0,C22*(1-$B$6)+(I22-C22),"")</f>
        <v/>
      </c>
      <c r="K22" s="64" t="str">
        <f aca="false">IF(C22&gt;0,PMT($B$7/12,$B$8*12,-C22*$B$6),"")</f>
        <v/>
      </c>
      <c r="L22" s="64" t="str">
        <f aca="false">IF(C22&gt;0,F22-K22,"")</f>
        <v/>
      </c>
      <c r="M22" s="74" t="str">
        <f aca="false">IF(AND(C22&gt;0,F22&gt;0),F22*12/C22,"")</f>
        <v/>
      </c>
      <c r="N22" s="74" t="str">
        <f aca="false">IF(AND($B$10&gt;0,G22&lt;&gt;""),G22/$B$10-1,"")</f>
        <v/>
      </c>
      <c r="O22" s="65" t="str">
        <f aca="false">IF(C22="","",ROUND(IF(M22&lt;&gt;"",M22*1000,0)+IF(L22&gt;0,2,0)-IF(AND($B$10&gt;0,N22&lt;&gt;""),N22*20,0),1))</f>
        <v/>
      </c>
    </row>
    <row r="23" customFormat="false" ht="15" hidden="false" customHeight="true" outlineLevel="0" collapsed="false">
      <c r="A23" s="46" t="n">
        <v>11</v>
      </c>
      <c r="B23" s="25"/>
      <c r="C23" s="7"/>
      <c r="D23" s="25"/>
      <c r="E23" s="25"/>
      <c r="F23" s="7"/>
      <c r="G23" s="13" t="str">
        <f aca="false">IF(AND(C23&gt;0,E23&gt;0),C23/E23,"")</f>
        <v/>
      </c>
      <c r="H23" s="13" t="str">
        <f aca="false">IF(C23&gt;0,IF($B$5="דירה להשקעה",MAX(0,MIN(C23,נתונים!$B$13)-נתונים!$A$13)*נתונים!$C$13+MAX(0,MIN(C23,נתונים!$B$14)-נתונים!$A$14)*נתונים!$C$14,MAX(0,MIN(C23,נתונים!$B$6)-נתונים!$A$6)*נתונים!$C$6+MAX(0,MIN(C23,נתונים!$B$7)-נתונים!$A$7)*נתונים!$C$7+MAX(0,MIN(C23,נתונים!$B$8)-נתונים!$A$8)*נתונים!$C$8+MAX(0,MIN(C23,נתונים!$B$9)-נתונים!$A$9)*נתונים!$C$9),"")</f>
        <v/>
      </c>
      <c r="I23" s="13" t="str">
        <f aca="false">IF(C23&gt;0,C23+H23+C23*0.02*1.18+C23*0.005*1.18,"")</f>
        <v/>
      </c>
      <c r="J23" s="13" t="str">
        <f aca="false">IF(C23&gt;0,C23*(1-$B$6)+(I23-C23),"")</f>
        <v/>
      </c>
      <c r="K23" s="13" t="str">
        <f aca="false">IF(C23&gt;0,PMT($B$7/12,$B$8*12,-C23*$B$6),"")</f>
        <v/>
      </c>
      <c r="L23" s="13" t="str">
        <f aca="false">IF(C23&gt;0,F23-K23,"")</f>
        <v/>
      </c>
      <c r="M23" s="17" t="str">
        <f aca="false">IF(AND(C23&gt;0,F23&gt;0),F23*12/C23,"")</f>
        <v/>
      </c>
      <c r="N23" s="17" t="str">
        <f aca="false">IF(AND($B$10&gt;0,G23&lt;&gt;""),G23/$B$10-1,"")</f>
        <v/>
      </c>
      <c r="O23" s="73" t="str">
        <f aca="false">IF(C23="","",ROUND(IF(M23&lt;&gt;"",M23*1000,0)+IF(L23&gt;0,2,0)-IF(AND($B$10&gt;0,N23&lt;&gt;""),N23*20,0),1))</f>
        <v/>
      </c>
    </row>
    <row r="24" customFormat="false" ht="15" hidden="false" customHeight="true" outlineLevel="0" collapsed="false">
      <c r="A24" s="48" t="n">
        <v>12</v>
      </c>
      <c r="B24" s="25"/>
      <c r="C24" s="7"/>
      <c r="D24" s="25"/>
      <c r="E24" s="25"/>
      <c r="F24" s="7"/>
      <c r="G24" s="64" t="str">
        <f aca="false">IF(AND(C24&gt;0,E24&gt;0),C24/E24,"")</f>
        <v/>
      </c>
      <c r="H24" s="64" t="str">
        <f aca="false">IF(C24&gt;0,IF($B$5="דירה להשקעה",MAX(0,MIN(C24,נתונים!$B$13)-נתונים!$A$13)*נתונים!$C$13+MAX(0,MIN(C24,נתונים!$B$14)-נתונים!$A$14)*נתונים!$C$14,MAX(0,MIN(C24,נתונים!$B$6)-נתונים!$A$6)*נתונים!$C$6+MAX(0,MIN(C24,נתונים!$B$7)-נתונים!$A$7)*נתונים!$C$7+MAX(0,MIN(C24,נתונים!$B$8)-נתונים!$A$8)*נתונים!$C$8+MAX(0,MIN(C24,נתונים!$B$9)-נתונים!$A$9)*נתונים!$C$9),"")</f>
        <v/>
      </c>
      <c r="I24" s="64" t="str">
        <f aca="false">IF(C24&gt;0,C24+H24+C24*0.02*1.18+C24*0.005*1.18,"")</f>
        <v/>
      </c>
      <c r="J24" s="64" t="str">
        <f aca="false">IF(C24&gt;0,C24*(1-$B$6)+(I24-C24),"")</f>
        <v/>
      </c>
      <c r="K24" s="64" t="str">
        <f aca="false">IF(C24&gt;0,PMT($B$7/12,$B$8*12,-C24*$B$6),"")</f>
        <v/>
      </c>
      <c r="L24" s="64" t="str">
        <f aca="false">IF(C24&gt;0,F24-K24,"")</f>
        <v/>
      </c>
      <c r="M24" s="74" t="str">
        <f aca="false">IF(AND(C24&gt;0,F24&gt;0),F24*12/C24,"")</f>
        <v/>
      </c>
      <c r="N24" s="74" t="str">
        <f aca="false">IF(AND($B$10&gt;0,G24&lt;&gt;""),G24/$B$10-1,"")</f>
        <v/>
      </c>
      <c r="O24" s="65" t="str">
        <f aca="false">IF(C24="","",ROUND(IF(M24&lt;&gt;"",M24*1000,0)+IF(L24&gt;0,2,0)-IF(AND($B$10&gt;0,N24&lt;&gt;""),N24*20,0),1))</f>
        <v/>
      </c>
    </row>
    <row r="25" customFormat="false" ht="15" hidden="false" customHeight="true" outlineLevel="0" collapsed="false">
      <c r="A25" s="46" t="n">
        <v>13</v>
      </c>
      <c r="B25" s="25"/>
      <c r="C25" s="7"/>
      <c r="D25" s="25"/>
      <c r="E25" s="25"/>
      <c r="F25" s="7"/>
      <c r="G25" s="13" t="str">
        <f aca="false">IF(AND(C25&gt;0,E25&gt;0),C25/E25,"")</f>
        <v/>
      </c>
      <c r="H25" s="13" t="str">
        <f aca="false">IF(C25&gt;0,IF($B$5="דירה להשקעה",MAX(0,MIN(C25,נתונים!$B$13)-נתונים!$A$13)*נתונים!$C$13+MAX(0,MIN(C25,נתונים!$B$14)-נתונים!$A$14)*נתונים!$C$14,MAX(0,MIN(C25,נתונים!$B$6)-נתונים!$A$6)*נתונים!$C$6+MAX(0,MIN(C25,נתונים!$B$7)-נתונים!$A$7)*נתונים!$C$7+MAX(0,MIN(C25,נתונים!$B$8)-נתונים!$A$8)*נתונים!$C$8+MAX(0,MIN(C25,נתונים!$B$9)-נתונים!$A$9)*נתונים!$C$9),"")</f>
        <v/>
      </c>
      <c r="I25" s="13" t="str">
        <f aca="false">IF(C25&gt;0,C25+H25+C25*0.02*1.18+C25*0.005*1.18,"")</f>
        <v/>
      </c>
      <c r="J25" s="13" t="str">
        <f aca="false">IF(C25&gt;0,C25*(1-$B$6)+(I25-C25),"")</f>
        <v/>
      </c>
      <c r="K25" s="13" t="str">
        <f aca="false">IF(C25&gt;0,PMT($B$7/12,$B$8*12,-C25*$B$6),"")</f>
        <v/>
      </c>
      <c r="L25" s="13" t="str">
        <f aca="false">IF(C25&gt;0,F25-K25,"")</f>
        <v/>
      </c>
      <c r="M25" s="17" t="str">
        <f aca="false">IF(AND(C25&gt;0,F25&gt;0),F25*12/C25,"")</f>
        <v/>
      </c>
      <c r="N25" s="17" t="str">
        <f aca="false">IF(AND($B$10&gt;0,G25&lt;&gt;""),G25/$B$10-1,"")</f>
        <v/>
      </c>
      <c r="O25" s="73" t="str">
        <f aca="false">IF(C25="","",ROUND(IF(M25&lt;&gt;"",M25*1000,0)+IF(L25&gt;0,2,0)-IF(AND($B$10&gt;0,N25&lt;&gt;""),N25*20,0),1))</f>
        <v/>
      </c>
    </row>
    <row r="26" customFormat="false" ht="15" hidden="false" customHeight="true" outlineLevel="0" collapsed="false">
      <c r="A26" s="48" t="n">
        <v>14</v>
      </c>
      <c r="B26" s="25"/>
      <c r="C26" s="7"/>
      <c r="D26" s="25"/>
      <c r="E26" s="25"/>
      <c r="F26" s="7"/>
      <c r="G26" s="64" t="str">
        <f aca="false">IF(AND(C26&gt;0,E26&gt;0),C26/E26,"")</f>
        <v/>
      </c>
      <c r="H26" s="64" t="str">
        <f aca="false">IF(C26&gt;0,IF($B$5="דירה להשקעה",MAX(0,MIN(C26,נתונים!$B$13)-נתונים!$A$13)*נתונים!$C$13+MAX(0,MIN(C26,נתונים!$B$14)-נתונים!$A$14)*נתונים!$C$14,MAX(0,MIN(C26,נתונים!$B$6)-נתונים!$A$6)*נתונים!$C$6+MAX(0,MIN(C26,נתונים!$B$7)-נתונים!$A$7)*נתונים!$C$7+MAX(0,MIN(C26,נתונים!$B$8)-נתונים!$A$8)*נתונים!$C$8+MAX(0,MIN(C26,נתונים!$B$9)-נתונים!$A$9)*נתונים!$C$9),"")</f>
        <v/>
      </c>
      <c r="I26" s="64" t="str">
        <f aca="false">IF(C26&gt;0,C26+H26+C26*0.02*1.18+C26*0.005*1.18,"")</f>
        <v/>
      </c>
      <c r="J26" s="64" t="str">
        <f aca="false">IF(C26&gt;0,C26*(1-$B$6)+(I26-C26),"")</f>
        <v/>
      </c>
      <c r="K26" s="64" t="str">
        <f aca="false">IF(C26&gt;0,PMT($B$7/12,$B$8*12,-C26*$B$6),"")</f>
        <v/>
      </c>
      <c r="L26" s="64" t="str">
        <f aca="false">IF(C26&gt;0,F26-K26,"")</f>
        <v/>
      </c>
      <c r="M26" s="74" t="str">
        <f aca="false">IF(AND(C26&gt;0,F26&gt;0),F26*12/C26,"")</f>
        <v/>
      </c>
      <c r="N26" s="74" t="str">
        <f aca="false">IF(AND($B$10&gt;0,G26&lt;&gt;""),G26/$B$10-1,"")</f>
        <v/>
      </c>
      <c r="O26" s="65" t="str">
        <f aca="false">IF(C26="","",ROUND(IF(M26&lt;&gt;"",M26*1000,0)+IF(L26&gt;0,2,0)-IF(AND($B$10&gt;0,N26&lt;&gt;""),N26*20,0),1))</f>
        <v/>
      </c>
    </row>
    <row r="27" customFormat="false" ht="15" hidden="false" customHeight="true" outlineLevel="0" collapsed="false">
      <c r="A27" s="46" t="n">
        <v>15</v>
      </c>
      <c r="B27" s="25"/>
      <c r="C27" s="7"/>
      <c r="D27" s="25"/>
      <c r="E27" s="25"/>
      <c r="F27" s="7"/>
      <c r="G27" s="13" t="str">
        <f aca="false">IF(AND(C27&gt;0,E27&gt;0),C27/E27,"")</f>
        <v/>
      </c>
      <c r="H27" s="13" t="str">
        <f aca="false">IF(C27&gt;0,IF($B$5="דירה להשקעה",MAX(0,MIN(C27,נתונים!$B$13)-נתונים!$A$13)*נתונים!$C$13+MAX(0,MIN(C27,נתונים!$B$14)-נתונים!$A$14)*נתונים!$C$14,MAX(0,MIN(C27,נתונים!$B$6)-נתונים!$A$6)*נתונים!$C$6+MAX(0,MIN(C27,נתונים!$B$7)-נתונים!$A$7)*נתונים!$C$7+MAX(0,MIN(C27,נתונים!$B$8)-נתונים!$A$8)*נתונים!$C$8+MAX(0,MIN(C27,נתונים!$B$9)-נתונים!$A$9)*נתונים!$C$9),"")</f>
        <v/>
      </c>
      <c r="I27" s="13" t="str">
        <f aca="false">IF(C27&gt;0,C27+H27+C27*0.02*1.18+C27*0.005*1.18,"")</f>
        <v/>
      </c>
      <c r="J27" s="13" t="str">
        <f aca="false">IF(C27&gt;0,C27*(1-$B$6)+(I27-C27),"")</f>
        <v/>
      </c>
      <c r="K27" s="13" t="str">
        <f aca="false">IF(C27&gt;0,PMT($B$7/12,$B$8*12,-C27*$B$6),"")</f>
        <v/>
      </c>
      <c r="L27" s="13" t="str">
        <f aca="false">IF(C27&gt;0,F27-K27,"")</f>
        <v/>
      </c>
      <c r="M27" s="17" t="str">
        <f aca="false">IF(AND(C27&gt;0,F27&gt;0),F27*12/C27,"")</f>
        <v/>
      </c>
      <c r="N27" s="17" t="str">
        <f aca="false">IF(AND($B$10&gt;0,G27&lt;&gt;""),G27/$B$10-1,"")</f>
        <v/>
      </c>
      <c r="O27" s="73" t="str">
        <f aca="false">IF(C27="","",ROUND(IF(M27&lt;&gt;"",M27*1000,0)+IF(L27&gt;0,2,0)-IF(AND($B$10&gt;0,N27&lt;&gt;""),N27*20,0),1))</f>
        <v/>
      </c>
    </row>
    <row r="28" customFormat="false" ht="15" hidden="false" customHeight="true" outlineLevel="0" collapsed="false">
      <c r="A28" s="48" t="n">
        <v>16</v>
      </c>
      <c r="B28" s="25"/>
      <c r="C28" s="7"/>
      <c r="D28" s="25"/>
      <c r="E28" s="25"/>
      <c r="F28" s="7"/>
      <c r="G28" s="64" t="str">
        <f aca="false">IF(AND(C28&gt;0,E28&gt;0),C28/E28,"")</f>
        <v/>
      </c>
      <c r="H28" s="64" t="str">
        <f aca="false">IF(C28&gt;0,IF($B$5="דירה להשקעה",MAX(0,MIN(C28,נתונים!$B$13)-נתונים!$A$13)*נתונים!$C$13+MAX(0,MIN(C28,נתונים!$B$14)-נתונים!$A$14)*נתונים!$C$14,MAX(0,MIN(C28,נתונים!$B$6)-נתונים!$A$6)*נתונים!$C$6+MAX(0,MIN(C28,נתונים!$B$7)-נתונים!$A$7)*נתונים!$C$7+MAX(0,MIN(C28,נתונים!$B$8)-נתונים!$A$8)*נתונים!$C$8+MAX(0,MIN(C28,נתונים!$B$9)-נתונים!$A$9)*נתונים!$C$9),"")</f>
        <v/>
      </c>
      <c r="I28" s="64" t="str">
        <f aca="false">IF(C28&gt;0,C28+H28+C28*0.02*1.18+C28*0.005*1.18,"")</f>
        <v/>
      </c>
      <c r="J28" s="64" t="str">
        <f aca="false">IF(C28&gt;0,C28*(1-$B$6)+(I28-C28),"")</f>
        <v/>
      </c>
      <c r="K28" s="64" t="str">
        <f aca="false">IF(C28&gt;0,PMT($B$7/12,$B$8*12,-C28*$B$6),"")</f>
        <v/>
      </c>
      <c r="L28" s="64" t="str">
        <f aca="false">IF(C28&gt;0,F28-K28,"")</f>
        <v/>
      </c>
      <c r="M28" s="74" t="str">
        <f aca="false">IF(AND(C28&gt;0,F28&gt;0),F28*12/C28,"")</f>
        <v/>
      </c>
      <c r="N28" s="74" t="str">
        <f aca="false">IF(AND($B$10&gt;0,G28&lt;&gt;""),G28/$B$10-1,"")</f>
        <v/>
      </c>
      <c r="O28" s="65" t="str">
        <f aca="false">IF(C28="","",ROUND(IF(M28&lt;&gt;"",M28*1000,0)+IF(L28&gt;0,2,0)-IF(AND($B$10&gt;0,N28&lt;&gt;""),N28*20,0),1))</f>
        <v/>
      </c>
    </row>
    <row r="29" customFormat="false" ht="15" hidden="false" customHeight="true" outlineLevel="0" collapsed="false">
      <c r="A29" s="46" t="n">
        <v>17</v>
      </c>
      <c r="B29" s="25"/>
      <c r="C29" s="7"/>
      <c r="D29" s="25"/>
      <c r="E29" s="25"/>
      <c r="F29" s="7"/>
      <c r="G29" s="13" t="str">
        <f aca="false">IF(AND(C29&gt;0,E29&gt;0),C29/E29,"")</f>
        <v/>
      </c>
      <c r="H29" s="13" t="str">
        <f aca="false">IF(C29&gt;0,IF($B$5="דירה להשקעה",MAX(0,MIN(C29,נתונים!$B$13)-נתונים!$A$13)*נתונים!$C$13+MAX(0,MIN(C29,נתונים!$B$14)-נתונים!$A$14)*נתונים!$C$14,MAX(0,MIN(C29,נתונים!$B$6)-נתונים!$A$6)*נתונים!$C$6+MAX(0,MIN(C29,נתונים!$B$7)-נתונים!$A$7)*נתונים!$C$7+MAX(0,MIN(C29,נתונים!$B$8)-נתונים!$A$8)*נתונים!$C$8+MAX(0,MIN(C29,נתונים!$B$9)-נתונים!$A$9)*נתונים!$C$9),"")</f>
        <v/>
      </c>
      <c r="I29" s="13" t="str">
        <f aca="false">IF(C29&gt;0,C29+H29+C29*0.02*1.18+C29*0.005*1.18,"")</f>
        <v/>
      </c>
      <c r="J29" s="13" t="str">
        <f aca="false">IF(C29&gt;0,C29*(1-$B$6)+(I29-C29),"")</f>
        <v/>
      </c>
      <c r="K29" s="13" t="str">
        <f aca="false">IF(C29&gt;0,PMT($B$7/12,$B$8*12,-C29*$B$6),"")</f>
        <v/>
      </c>
      <c r="L29" s="13" t="str">
        <f aca="false">IF(C29&gt;0,F29-K29,"")</f>
        <v/>
      </c>
      <c r="M29" s="17" t="str">
        <f aca="false">IF(AND(C29&gt;0,F29&gt;0),F29*12/C29,"")</f>
        <v/>
      </c>
      <c r="N29" s="17" t="str">
        <f aca="false">IF(AND($B$10&gt;0,G29&lt;&gt;""),G29/$B$10-1,"")</f>
        <v/>
      </c>
      <c r="O29" s="73" t="str">
        <f aca="false">IF(C29="","",ROUND(IF(M29&lt;&gt;"",M29*1000,0)+IF(L29&gt;0,2,0)-IF(AND($B$10&gt;0,N29&lt;&gt;""),N29*20,0),1))</f>
        <v/>
      </c>
    </row>
    <row r="30" customFormat="false" ht="15" hidden="false" customHeight="true" outlineLevel="0" collapsed="false">
      <c r="A30" s="48" t="n">
        <v>18</v>
      </c>
      <c r="B30" s="25"/>
      <c r="C30" s="7"/>
      <c r="D30" s="25"/>
      <c r="E30" s="25"/>
      <c r="F30" s="7"/>
      <c r="G30" s="64" t="str">
        <f aca="false">IF(AND(C30&gt;0,E30&gt;0),C30/E30,"")</f>
        <v/>
      </c>
      <c r="H30" s="64" t="str">
        <f aca="false">IF(C30&gt;0,IF($B$5="דירה להשקעה",MAX(0,MIN(C30,נתונים!$B$13)-נתונים!$A$13)*נתונים!$C$13+MAX(0,MIN(C30,נתונים!$B$14)-נתונים!$A$14)*נתונים!$C$14,MAX(0,MIN(C30,נתונים!$B$6)-נתונים!$A$6)*נתונים!$C$6+MAX(0,MIN(C30,נתונים!$B$7)-נתונים!$A$7)*נתונים!$C$7+MAX(0,MIN(C30,נתונים!$B$8)-נתונים!$A$8)*נתונים!$C$8+MAX(0,MIN(C30,נתונים!$B$9)-נתונים!$A$9)*נתונים!$C$9),"")</f>
        <v/>
      </c>
      <c r="I30" s="64" t="str">
        <f aca="false">IF(C30&gt;0,C30+H30+C30*0.02*1.18+C30*0.005*1.18,"")</f>
        <v/>
      </c>
      <c r="J30" s="64" t="str">
        <f aca="false">IF(C30&gt;0,C30*(1-$B$6)+(I30-C30),"")</f>
        <v/>
      </c>
      <c r="K30" s="64" t="str">
        <f aca="false">IF(C30&gt;0,PMT($B$7/12,$B$8*12,-C30*$B$6),"")</f>
        <v/>
      </c>
      <c r="L30" s="64" t="str">
        <f aca="false">IF(C30&gt;0,F30-K30,"")</f>
        <v/>
      </c>
      <c r="M30" s="74" t="str">
        <f aca="false">IF(AND(C30&gt;0,F30&gt;0),F30*12/C30,"")</f>
        <v/>
      </c>
      <c r="N30" s="74" t="str">
        <f aca="false">IF(AND($B$10&gt;0,G30&lt;&gt;""),G30/$B$10-1,"")</f>
        <v/>
      </c>
      <c r="O30" s="65" t="str">
        <f aca="false">IF(C30="","",ROUND(IF(M30&lt;&gt;"",M30*1000,0)+IF(L30&gt;0,2,0)-IF(AND($B$10&gt;0,N30&lt;&gt;""),N30*20,0),1))</f>
        <v/>
      </c>
    </row>
    <row r="31" customFormat="false" ht="15" hidden="false" customHeight="true" outlineLevel="0" collapsed="false">
      <c r="A31" s="46" t="n">
        <v>19</v>
      </c>
      <c r="B31" s="25"/>
      <c r="C31" s="7"/>
      <c r="D31" s="25"/>
      <c r="E31" s="25"/>
      <c r="F31" s="7"/>
      <c r="G31" s="13" t="str">
        <f aca="false">IF(AND(C31&gt;0,E31&gt;0),C31/E31,"")</f>
        <v/>
      </c>
      <c r="H31" s="13" t="str">
        <f aca="false">IF(C31&gt;0,IF($B$5="דירה להשקעה",MAX(0,MIN(C31,נתונים!$B$13)-נתונים!$A$13)*נתונים!$C$13+MAX(0,MIN(C31,נתונים!$B$14)-נתונים!$A$14)*נתונים!$C$14,MAX(0,MIN(C31,נתונים!$B$6)-נתונים!$A$6)*נתונים!$C$6+MAX(0,MIN(C31,נתונים!$B$7)-נתונים!$A$7)*נתונים!$C$7+MAX(0,MIN(C31,נתונים!$B$8)-נתונים!$A$8)*נתונים!$C$8+MAX(0,MIN(C31,נתונים!$B$9)-נתונים!$A$9)*נתונים!$C$9),"")</f>
        <v/>
      </c>
      <c r="I31" s="13" t="str">
        <f aca="false">IF(C31&gt;0,C31+H31+C31*0.02*1.18+C31*0.005*1.18,"")</f>
        <v/>
      </c>
      <c r="J31" s="13" t="str">
        <f aca="false">IF(C31&gt;0,C31*(1-$B$6)+(I31-C31),"")</f>
        <v/>
      </c>
      <c r="K31" s="13" t="str">
        <f aca="false">IF(C31&gt;0,PMT($B$7/12,$B$8*12,-C31*$B$6),"")</f>
        <v/>
      </c>
      <c r="L31" s="13" t="str">
        <f aca="false">IF(C31&gt;0,F31-K31,"")</f>
        <v/>
      </c>
      <c r="M31" s="17" t="str">
        <f aca="false">IF(AND(C31&gt;0,F31&gt;0),F31*12/C31,"")</f>
        <v/>
      </c>
      <c r="N31" s="17" t="str">
        <f aca="false">IF(AND($B$10&gt;0,G31&lt;&gt;""),G31/$B$10-1,"")</f>
        <v/>
      </c>
      <c r="O31" s="73" t="str">
        <f aca="false">IF(C31="","",ROUND(IF(M31&lt;&gt;"",M31*1000,0)+IF(L31&gt;0,2,0)-IF(AND($B$10&gt;0,N31&lt;&gt;""),N31*20,0),1))</f>
        <v/>
      </c>
    </row>
    <row r="32" customFormat="false" ht="15" hidden="false" customHeight="true" outlineLevel="0" collapsed="false">
      <c r="A32" s="48" t="n">
        <v>20</v>
      </c>
      <c r="B32" s="25"/>
      <c r="C32" s="7"/>
      <c r="D32" s="25"/>
      <c r="E32" s="25"/>
      <c r="F32" s="7"/>
      <c r="G32" s="64" t="str">
        <f aca="false">IF(AND(C32&gt;0,E32&gt;0),C32/E32,"")</f>
        <v/>
      </c>
      <c r="H32" s="64" t="str">
        <f aca="false">IF(C32&gt;0,IF($B$5="דירה להשקעה",MAX(0,MIN(C32,נתונים!$B$13)-נתונים!$A$13)*נתונים!$C$13+MAX(0,MIN(C32,נתונים!$B$14)-נתונים!$A$14)*נתונים!$C$14,MAX(0,MIN(C32,נתונים!$B$6)-נתונים!$A$6)*נתונים!$C$6+MAX(0,MIN(C32,נתונים!$B$7)-נתונים!$A$7)*נתונים!$C$7+MAX(0,MIN(C32,נתונים!$B$8)-נתונים!$A$8)*נתונים!$C$8+MAX(0,MIN(C32,נתונים!$B$9)-נתונים!$A$9)*נתונים!$C$9),"")</f>
        <v/>
      </c>
      <c r="I32" s="64" t="str">
        <f aca="false">IF(C32&gt;0,C32+H32+C32*0.02*1.18+C32*0.005*1.18,"")</f>
        <v/>
      </c>
      <c r="J32" s="64" t="str">
        <f aca="false">IF(C32&gt;0,C32*(1-$B$6)+(I32-C32),"")</f>
        <v/>
      </c>
      <c r="K32" s="64" t="str">
        <f aca="false">IF(C32&gt;0,PMT($B$7/12,$B$8*12,-C32*$B$6),"")</f>
        <v/>
      </c>
      <c r="L32" s="64" t="str">
        <f aca="false">IF(C32&gt;0,F32-K32,"")</f>
        <v/>
      </c>
      <c r="M32" s="74" t="str">
        <f aca="false">IF(AND(C32&gt;0,F32&gt;0),F32*12/C32,"")</f>
        <v/>
      </c>
      <c r="N32" s="74" t="str">
        <f aca="false">IF(AND($B$10&gt;0,G32&lt;&gt;""),G32/$B$10-1,"")</f>
        <v/>
      </c>
      <c r="O32" s="65" t="str">
        <f aca="false">IF(C32="","",ROUND(IF(M32&lt;&gt;"",M32*1000,0)+IF(L32&gt;0,2,0)-IF(AND($B$10&gt;0,N32&lt;&gt;""),N32*20,0),1))</f>
        <v/>
      </c>
    </row>
    <row r="33" customFormat="false" ht="15" hidden="false" customHeight="true" outlineLevel="0" collapsed="false">
      <c r="A33" s="46" t="n">
        <v>21</v>
      </c>
      <c r="B33" s="25"/>
      <c r="C33" s="7"/>
      <c r="D33" s="25"/>
      <c r="E33" s="25"/>
      <c r="F33" s="7"/>
      <c r="G33" s="13" t="str">
        <f aca="false">IF(AND(C33&gt;0,E33&gt;0),C33/E33,"")</f>
        <v/>
      </c>
      <c r="H33" s="13" t="str">
        <f aca="false">IF(C33&gt;0,IF($B$5="דירה להשקעה",MAX(0,MIN(C33,נתונים!$B$13)-נתונים!$A$13)*נתונים!$C$13+MAX(0,MIN(C33,נתונים!$B$14)-נתונים!$A$14)*נתונים!$C$14,MAX(0,MIN(C33,נתונים!$B$6)-נתונים!$A$6)*נתונים!$C$6+MAX(0,MIN(C33,נתונים!$B$7)-נתונים!$A$7)*נתונים!$C$7+MAX(0,MIN(C33,נתונים!$B$8)-נתונים!$A$8)*נתונים!$C$8+MAX(0,MIN(C33,נתונים!$B$9)-נתונים!$A$9)*נתונים!$C$9),"")</f>
        <v/>
      </c>
      <c r="I33" s="13" t="str">
        <f aca="false">IF(C33&gt;0,C33+H33+C33*0.02*1.18+C33*0.005*1.18,"")</f>
        <v/>
      </c>
      <c r="J33" s="13" t="str">
        <f aca="false">IF(C33&gt;0,C33*(1-$B$6)+(I33-C33),"")</f>
        <v/>
      </c>
      <c r="K33" s="13" t="str">
        <f aca="false">IF(C33&gt;0,PMT($B$7/12,$B$8*12,-C33*$B$6),"")</f>
        <v/>
      </c>
      <c r="L33" s="13" t="str">
        <f aca="false">IF(C33&gt;0,F33-K33,"")</f>
        <v/>
      </c>
      <c r="M33" s="17" t="str">
        <f aca="false">IF(AND(C33&gt;0,F33&gt;0),F33*12/C33,"")</f>
        <v/>
      </c>
      <c r="N33" s="17" t="str">
        <f aca="false">IF(AND($B$10&gt;0,G33&lt;&gt;""),G33/$B$10-1,"")</f>
        <v/>
      </c>
      <c r="O33" s="73" t="str">
        <f aca="false">IF(C33="","",ROUND(IF(M33&lt;&gt;"",M33*1000,0)+IF(L33&gt;0,2,0)-IF(AND($B$10&gt;0,N33&lt;&gt;""),N33*20,0),1))</f>
        <v/>
      </c>
    </row>
    <row r="34" customFormat="false" ht="15" hidden="false" customHeight="true" outlineLevel="0" collapsed="false">
      <c r="A34" s="48" t="n">
        <v>22</v>
      </c>
      <c r="B34" s="25"/>
      <c r="C34" s="7"/>
      <c r="D34" s="25"/>
      <c r="E34" s="25"/>
      <c r="F34" s="7"/>
      <c r="G34" s="64" t="str">
        <f aca="false">IF(AND(C34&gt;0,E34&gt;0),C34/E34,"")</f>
        <v/>
      </c>
      <c r="H34" s="64" t="str">
        <f aca="false">IF(C34&gt;0,IF($B$5="דירה להשקעה",MAX(0,MIN(C34,נתונים!$B$13)-נתונים!$A$13)*נתונים!$C$13+MAX(0,MIN(C34,נתונים!$B$14)-נתונים!$A$14)*נתונים!$C$14,MAX(0,MIN(C34,נתונים!$B$6)-נתונים!$A$6)*נתונים!$C$6+MAX(0,MIN(C34,נתונים!$B$7)-נתונים!$A$7)*נתונים!$C$7+MAX(0,MIN(C34,נתונים!$B$8)-נתונים!$A$8)*נתונים!$C$8+MAX(0,MIN(C34,נתונים!$B$9)-נתונים!$A$9)*נתונים!$C$9),"")</f>
        <v/>
      </c>
      <c r="I34" s="64" t="str">
        <f aca="false">IF(C34&gt;0,C34+H34+C34*0.02*1.18+C34*0.005*1.18,"")</f>
        <v/>
      </c>
      <c r="J34" s="64" t="str">
        <f aca="false">IF(C34&gt;0,C34*(1-$B$6)+(I34-C34),"")</f>
        <v/>
      </c>
      <c r="K34" s="64" t="str">
        <f aca="false">IF(C34&gt;0,PMT($B$7/12,$B$8*12,-C34*$B$6),"")</f>
        <v/>
      </c>
      <c r="L34" s="64" t="str">
        <f aca="false">IF(C34&gt;0,F34-K34,"")</f>
        <v/>
      </c>
      <c r="M34" s="74" t="str">
        <f aca="false">IF(AND(C34&gt;0,F34&gt;0),F34*12/C34,"")</f>
        <v/>
      </c>
      <c r="N34" s="74" t="str">
        <f aca="false">IF(AND($B$10&gt;0,G34&lt;&gt;""),G34/$B$10-1,"")</f>
        <v/>
      </c>
      <c r="O34" s="65" t="str">
        <f aca="false">IF(C34="","",ROUND(IF(M34&lt;&gt;"",M34*1000,0)+IF(L34&gt;0,2,0)-IF(AND($B$10&gt;0,N34&lt;&gt;""),N34*20,0),1))</f>
        <v/>
      </c>
    </row>
    <row r="35" customFormat="false" ht="15" hidden="false" customHeight="true" outlineLevel="0" collapsed="false">
      <c r="A35" s="46" t="n">
        <v>23</v>
      </c>
      <c r="B35" s="25"/>
      <c r="C35" s="7"/>
      <c r="D35" s="25"/>
      <c r="E35" s="25"/>
      <c r="F35" s="7"/>
      <c r="G35" s="13" t="str">
        <f aca="false">IF(AND(C35&gt;0,E35&gt;0),C35/E35,"")</f>
        <v/>
      </c>
      <c r="H35" s="13" t="str">
        <f aca="false">IF(C35&gt;0,IF($B$5="דירה להשקעה",MAX(0,MIN(C35,נתונים!$B$13)-נתונים!$A$13)*נתונים!$C$13+MAX(0,MIN(C35,נתונים!$B$14)-נתונים!$A$14)*נתונים!$C$14,MAX(0,MIN(C35,נתונים!$B$6)-נתונים!$A$6)*נתונים!$C$6+MAX(0,MIN(C35,נתונים!$B$7)-נתונים!$A$7)*נתונים!$C$7+MAX(0,MIN(C35,נתונים!$B$8)-נתונים!$A$8)*נתונים!$C$8+MAX(0,MIN(C35,נתונים!$B$9)-נתונים!$A$9)*נתונים!$C$9),"")</f>
        <v/>
      </c>
      <c r="I35" s="13" t="str">
        <f aca="false">IF(C35&gt;0,C35+H35+C35*0.02*1.18+C35*0.005*1.18,"")</f>
        <v/>
      </c>
      <c r="J35" s="13" t="str">
        <f aca="false">IF(C35&gt;0,C35*(1-$B$6)+(I35-C35),"")</f>
        <v/>
      </c>
      <c r="K35" s="13" t="str">
        <f aca="false">IF(C35&gt;0,PMT($B$7/12,$B$8*12,-C35*$B$6),"")</f>
        <v/>
      </c>
      <c r="L35" s="13" t="str">
        <f aca="false">IF(C35&gt;0,F35-K35,"")</f>
        <v/>
      </c>
      <c r="M35" s="17" t="str">
        <f aca="false">IF(AND(C35&gt;0,F35&gt;0),F35*12/C35,"")</f>
        <v/>
      </c>
      <c r="N35" s="17" t="str">
        <f aca="false">IF(AND($B$10&gt;0,G35&lt;&gt;""),G35/$B$10-1,"")</f>
        <v/>
      </c>
      <c r="O35" s="73" t="str">
        <f aca="false">IF(C35="","",ROUND(IF(M35&lt;&gt;"",M35*1000,0)+IF(L35&gt;0,2,0)-IF(AND($B$10&gt;0,N35&lt;&gt;""),N35*20,0),1))</f>
        <v/>
      </c>
    </row>
    <row r="36" customFormat="false" ht="15" hidden="false" customHeight="true" outlineLevel="0" collapsed="false">
      <c r="A36" s="48" t="n">
        <v>24</v>
      </c>
      <c r="B36" s="25"/>
      <c r="C36" s="7"/>
      <c r="D36" s="25"/>
      <c r="E36" s="25"/>
      <c r="F36" s="7"/>
      <c r="G36" s="64" t="str">
        <f aca="false">IF(AND(C36&gt;0,E36&gt;0),C36/E36,"")</f>
        <v/>
      </c>
      <c r="H36" s="64" t="str">
        <f aca="false">IF(C36&gt;0,IF($B$5="דירה להשקעה",MAX(0,MIN(C36,נתונים!$B$13)-נתונים!$A$13)*נתונים!$C$13+MAX(0,MIN(C36,נתונים!$B$14)-נתונים!$A$14)*נתונים!$C$14,MAX(0,MIN(C36,נתונים!$B$6)-נתונים!$A$6)*נתונים!$C$6+MAX(0,MIN(C36,נתונים!$B$7)-נתונים!$A$7)*נתונים!$C$7+MAX(0,MIN(C36,נתונים!$B$8)-נתונים!$A$8)*נתונים!$C$8+MAX(0,MIN(C36,נתונים!$B$9)-נתונים!$A$9)*נתונים!$C$9),"")</f>
        <v/>
      </c>
      <c r="I36" s="64" t="str">
        <f aca="false">IF(C36&gt;0,C36+H36+C36*0.02*1.18+C36*0.005*1.18,"")</f>
        <v/>
      </c>
      <c r="J36" s="64" t="str">
        <f aca="false">IF(C36&gt;0,C36*(1-$B$6)+(I36-C36),"")</f>
        <v/>
      </c>
      <c r="K36" s="64" t="str">
        <f aca="false">IF(C36&gt;0,PMT($B$7/12,$B$8*12,-C36*$B$6),"")</f>
        <v/>
      </c>
      <c r="L36" s="64" t="str">
        <f aca="false">IF(C36&gt;0,F36-K36,"")</f>
        <v/>
      </c>
      <c r="M36" s="74" t="str">
        <f aca="false">IF(AND(C36&gt;0,F36&gt;0),F36*12/C36,"")</f>
        <v/>
      </c>
      <c r="N36" s="74" t="str">
        <f aca="false">IF(AND($B$10&gt;0,G36&lt;&gt;""),G36/$B$10-1,"")</f>
        <v/>
      </c>
      <c r="O36" s="65" t="str">
        <f aca="false">IF(C36="","",ROUND(IF(M36&lt;&gt;"",M36*1000,0)+IF(L36&gt;0,2,0)-IF(AND($B$10&gt;0,N36&lt;&gt;""),N36*20,0),1))</f>
        <v/>
      </c>
    </row>
    <row r="37" customFormat="false" ht="15" hidden="false" customHeight="true" outlineLevel="0" collapsed="false">
      <c r="A37" s="46" t="n">
        <v>25</v>
      </c>
      <c r="B37" s="25"/>
      <c r="C37" s="7"/>
      <c r="D37" s="25"/>
      <c r="E37" s="25"/>
      <c r="F37" s="7"/>
      <c r="G37" s="13" t="str">
        <f aca="false">IF(AND(C37&gt;0,E37&gt;0),C37/E37,"")</f>
        <v/>
      </c>
      <c r="H37" s="13" t="str">
        <f aca="false">IF(C37&gt;0,IF($B$5="דירה להשקעה",MAX(0,MIN(C37,נתונים!$B$13)-נתונים!$A$13)*נתונים!$C$13+MAX(0,MIN(C37,נתונים!$B$14)-נתונים!$A$14)*נתונים!$C$14,MAX(0,MIN(C37,נתונים!$B$6)-נתונים!$A$6)*נתונים!$C$6+MAX(0,MIN(C37,נתונים!$B$7)-נתונים!$A$7)*נתונים!$C$7+MAX(0,MIN(C37,נתונים!$B$8)-נתונים!$A$8)*נתונים!$C$8+MAX(0,MIN(C37,נתונים!$B$9)-נתונים!$A$9)*נתונים!$C$9),"")</f>
        <v/>
      </c>
      <c r="I37" s="13" t="str">
        <f aca="false">IF(C37&gt;0,C37+H37+C37*0.02*1.18+C37*0.005*1.18,"")</f>
        <v/>
      </c>
      <c r="J37" s="13" t="str">
        <f aca="false">IF(C37&gt;0,C37*(1-$B$6)+(I37-C37),"")</f>
        <v/>
      </c>
      <c r="K37" s="13" t="str">
        <f aca="false">IF(C37&gt;0,PMT($B$7/12,$B$8*12,-C37*$B$6),"")</f>
        <v/>
      </c>
      <c r="L37" s="13" t="str">
        <f aca="false">IF(C37&gt;0,F37-K37,"")</f>
        <v/>
      </c>
      <c r="M37" s="17" t="str">
        <f aca="false">IF(AND(C37&gt;0,F37&gt;0),F37*12/C37,"")</f>
        <v/>
      </c>
      <c r="N37" s="17" t="str">
        <f aca="false">IF(AND($B$10&gt;0,G37&lt;&gt;""),G37/$B$10-1,"")</f>
        <v/>
      </c>
      <c r="O37" s="73" t="str">
        <f aca="false">IF(C37="","",ROUND(IF(M37&lt;&gt;"",M37*1000,0)+IF(L37&gt;0,2,0)-IF(AND($B$10&gt;0,N37&lt;&gt;""),N37*20,0),1))</f>
        <v/>
      </c>
    </row>
    <row r="39" customFormat="false" ht="15" hidden="false" customHeight="true" outlineLevel="0" collapsed="false">
      <c r="B39" s="34" t="s">
        <v>217</v>
      </c>
      <c r="F39" s="72" t="s">
        <v>218</v>
      </c>
      <c r="G39" s="51" t="str">
        <f aca="false">IF(COUNT(G13:G37)&gt;0,AVERAGE(G13:G37),"")</f>
        <v/>
      </c>
      <c r="M39" s="75" t="str">
        <f aca="false">IF(COUNT(M13:M37)&gt;0,AVERAGE(M13:M37),"")</f>
        <v/>
      </c>
    </row>
    <row r="40" customFormat="false" ht="15" hidden="false" customHeight="true" outlineLevel="0" collapsed="false">
      <c r="B40" s="34" t="s">
        <v>219</v>
      </c>
      <c r="M40" s="75" t="str">
        <f aca="false">IF(COUNT(M13:M37)&gt;0,MAX(M13:M37),"")</f>
        <v/>
      </c>
    </row>
  </sheetData>
  <conditionalFormatting sqref="M13:M37">
    <cfRule type="colorScale" priority="2">
      <colorScale>
        <cfvo type="num" val="0"/>
        <cfvo type="num" val="0.035"/>
        <cfvo type="num" val="0.06"/>
        <color rgb="FFF8696B"/>
        <color rgb="FFFFEB84"/>
        <color rgb="FF63BE7B"/>
      </colorScale>
    </cfRule>
  </conditionalFormatting>
  <conditionalFormatting sqref="O13:O3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allowBlank="false" errorStyle="stop" operator="between" showDropDown="false" showErrorMessage="false" showInputMessage="false" sqref="B5" type="list">
      <formula1>"דירה יחידה,משפר דיור,דירה להשקעה"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2026-06-18T17:04:29Z</dcterms:created>
  <dc:creator>openpyxl</dc:creator>
  <dc:description/>
  <dc:language>en-US</dc:language>
  <cp:lastModifiedBy/>
  <dcterms:modified xsi:type="dcterms:W3CDTF">2026-06-30T12:46:12Z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